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. Resumen Ejecutivo" sheetId="1" state="visible" r:id="rId1"/>
    <sheet name="1. Parámetros" sheetId="2" state="visible" r:id="rId2"/>
    <sheet name="2. Ingresos" sheetId="3" state="visible" r:id="rId3"/>
    <sheet name="3. Costos" sheetId="4" state="visible" r:id="rId4"/>
    <sheet name="4. P&amp;G Consolidado" sheetId="5" state="visible" r:id="rId5"/>
    <sheet name="5. Flujo de Caja" sheetId="6" state="visible" r:id="rId6"/>
    <sheet name="6. 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2E75B6"/>
    </font>
    <font>
      <b val="1"/>
      <color rgb="002E75B6"/>
      <sz val="14"/>
    </font>
    <font>
      <color rgb="0000800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BDD7EE"/>
        <bgColor rgb="00BDD7EE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6" fillId="7" borderId="1" pivotButton="0" quotePrefix="0" xfId="0"/>
    <xf numFmtId="0" fontId="3" fillId="2" borderId="0" pivotButton="0" quotePrefix="0" xfId="0"/>
    <xf numFmtId="0" fontId="6" fillId="0" borderId="1" pivotButton="0" quotePrefix="0" xfId="0"/>
    <xf numFmtId="0" fontId="4" fillId="3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5" fillId="8" borderId="1" pivotButton="0" quotePrefix="0" xfId="0"/>
    <xf numFmtId="0" fontId="7" fillId="0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50" customWidth="1" min="1" max="1"/>
    <col width="5" customWidth="1" min="2" max="2"/>
    <col width="40" customWidth="1" min="3" max="3"/>
    <col width="25" customWidth="1" min="4" max="4"/>
  </cols>
  <sheetData>
    <row r="1">
      <c r="A1" s="1" t="inlineStr">
        <is>
          <t>RESUMEN EJECUTIVO - MODELO FINANCIERO INTEGRADO</t>
        </is>
      </c>
    </row>
    <row r="3">
      <c r="A3" s="16" t="inlineStr">
        <is>
          <t>LA PALMA Y EL TUCÁN | Proyección Estratégica 2026-2028</t>
        </is>
      </c>
    </row>
    <row r="5">
      <c r="A5" s="10" t="inlineStr">
        <is>
          <t>ESTRUCTURA DEL MODELO FINANCIERO</t>
        </is>
      </c>
    </row>
    <row r="6">
      <c r="A6" t="inlineStr"/>
      <c r="D6" t="inlineStr"/>
    </row>
    <row r="7">
      <c r="A7" t="inlineStr">
        <is>
          <t>Este modelo integra 5 líneas de negocio principales:</t>
        </is>
      </c>
      <c r="D7" t="inlineStr"/>
    </row>
    <row r="8">
      <c r="A8" t="inlineStr"/>
      <c r="D8" t="inlineStr"/>
    </row>
    <row r="9">
      <c r="A9" s="17" t="inlineStr">
        <is>
          <t>1. CAFÉ FINCA (Series Aurora, Alma, Landscape)</t>
        </is>
      </c>
      <c r="D9" t="inlineStr">
        <is>
          <t>Premium $42-120/lb</t>
        </is>
      </c>
    </row>
    <row r="10">
      <c r="A10" s="17" t="inlineStr">
        <is>
          <t>2. CRAFTLAB CUSTOM</t>
        </is>
      </c>
      <c r="D10" t="inlineStr">
        <is>
          <t>Ultra-premium $60-100/lb</t>
        </is>
      </c>
    </row>
    <row r="11">
      <c r="A11" s="17" t="inlineStr">
        <is>
          <t>3. NEIGHBORS &amp; CROPS (Symbiosis)</t>
        </is>
      </c>
      <c r="D11" t="inlineStr">
        <is>
          <t>Impacto social $28-32/lb</t>
        </is>
      </c>
    </row>
    <row r="12">
      <c r="A12" s="17" t="inlineStr">
        <is>
          <t>4. TURISMO Y EDUCACIÓN</t>
        </is>
      </c>
      <c r="D12" t="inlineStr">
        <is>
          <t>Hotel + Q Processing</t>
        </is>
      </c>
    </row>
    <row r="13">
      <c r="A13" s="17" t="inlineStr">
        <is>
          <t>5. PROGRAMA BEAT SERIES</t>
        </is>
      </c>
      <c r="D13" t="inlineStr">
        <is>
          <t>Marketing estratégico</t>
        </is>
      </c>
    </row>
    <row r="14">
      <c r="A14" t="inlineStr"/>
      <c r="D14" t="inlineStr"/>
    </row>
    <row r="15">
      <c r="A15" t="inlineStr">
        <is>
          <t>FLUJO DE DATOS:</t>
        </is>
      </c>
      <c r="D15" t="inlineStr"/>
    </row>
    <row r="16">
      <c r="A16" t="inlineStr"/>
      <c r="D16" t="inlineStr"/>
    </row>
    <row r="17">
      <c r="A17" s="17" t="inlineStr">
        <is>
          <t>1. Parámetros → Define todas las variables editables (amarillo)</t>
        </is>
      </c>
      <c r="D17" t="inlineStr"/>
    </row>
    <row r="18">
      <c r="A18" s="17" t="inlineStr">
        <is>
          <t>2. Ingresos → Calcula volúmenes y ventas por serie</t>
        </is>
      </c>
      <c r="D18" t="inlineStr"/>
    </row>
    <row r="19">
      <c r="A19" s="17" t="inlineStr">
        <is>
          <t>3. Costos → Calcula costos variables, fijos y Beat Series</t>
        </is>
      </c>
      <c r="D19" t="inlineStr"/>
    </row>
    <row r="20">
      <c r="A20" s="17" t="inlineStr">
        <is>
          <t>4. P&amp;G Consolidado → Integra todo en estado de resultados</t>
        </is>
      </c>
      <c r="D20" t="inlineStr"/>
    </row>
    <row r="21">
      <c r="A21" s="17" t="inlineStr">
        <is>
          <t>5. Flujo de Caja → Proyecta liquidez vinculado al P&amp;G</t>
        </is>
      </c>
      <c r="D21" t="inlineStr"/>
    </row>
    <row r="22">
      <c r="A22" s="17" t="inlineStr">
        <is>
          <t>6. Dashboard → Muestra KPIs y validaciones</t>
        </is>
      </c>
      <c r="D22" t="inlineStr"/>
    </row>
    <row r="24">
      <c r="A24" s="10" t="inlineStr">
        <is>
          <t>OBJETIVOS FINANCIEROS CLAVE</t>
        </is>
      </c>
    </row>
    <row r="26">
      <c r="A26" t="inlineStr"/>
      <c r="C26" t="inlineStr"/>
    </row>
    <row r="27">
      <c r="A27" s="18" t="inlineStr">
        <is>
          <t>✓ Precio Promedio Ponderado Finca</t>
        </is>
      </c>
      <c r="C27" t="inlineStr">
        <is>
          <t>≥ $42/lb (mínimo) | $50/lb (ideal)</t>
        </is>
      </c>
    </row>
    <row r="28">
      <c r="A28" s="18" t="inlineStr">
        <is>
          <t>✓ Volumen Subsidiado (Beat Series)</t>
        </is>
      </c>
      <c r="C28" t="inlineStr">
        <is>
          <t>≤ 15% del volumen total anual</t>
        </is>
      </c>
    </row>
    <row r="29">
      <c r="A29" s="18" t="inlineStr">
        <is>
          <t>✓ Margen EBITDA</t>
        </is>
      </c>
      <c r="C29" t="inlineStr">
        <is>
          <t>&gt; 25%</t>
        </is>
      </c>
    </row>
    <row r="30">
      <c r="A30" s="18" t="inlineStr">
        <is>
          <t>✓ EBITDA Anual</t>
        </is>
      </c>
      <c r="C30" t="inlineStr">
        <is>
          <t>&gt; $150,000 USD</t>
        </is>
      </c>
    </row>
    <row r="31">
      <c r="A31" s="18" t="inlineStr">
        <is>
          <t>✓ Flujo de Caja</t>
        </is>
      </c>
      <c r="C31" t="inlineStr">
        <is>
          <t>Positivo todos los años</t>
        </is>
      </c>
    </row>
    <row r="32">
      <c r="A32" s="18" t="inlineStr">
        <is>
          <t>✓ ROI Beat Series (AVE/Inversión)</t>
        </is>
      </c>
      <c r="C32" t="inlineStr">
        <is>
          <t>&gt; 1.5x</t>
        </is>
      </c>
    </row>
    <row r="34">
      <c r="A34" s="10" t="inlineStr">
        <is>
          <t>INSTRUCCIONES DE USO</t>
        </is>
      </c>
    </row>
    <row r="36">
      <c r="A36" t="inlineStr"/>
    </row>
    <row r="37">
      <c r="A37" t="inlineStr">
        <is>
          <t>1. Editar variables en hoja "1. Parámetros" (celdas amarillas)</t>
        </is>
      </c>
    </row>
    <row r="38">
      <c r="A38" t="inlineStr">
        <is>
          <t>2. Las hojas 2-6 se actualizan automáticamente</t>
        </is>
      </c>
    </row>
    <row r="39">
      <c r="A39" t="inlineStr">
        <is>
          <t>3. Revisar Dashboard para validar objetivos</t>
        </is>
      </c>
    </row>
    <row r="40">
      <c r="A40" t="inlineStr">
        <is>
          <t>4. Ajustar parámetros hasta cumplir metas</t>
        </is>
      </c>
    </row>
    <row r="41">
      <c r="A41" t="inlineStr"/>
    </row>
    <row r="42">
      <c r="A42" t="inlineStr">
        <is>
          <t>LEYENDA DE COLORES:</t>
        </is>
      </c>
    </row>
    <row r="43">
      <c r="A43" t="inlineStr">
        <is>
          <t xml:space="preserve">   Amarillo = Input editable</t>
        </is>
      </c>
    </row>
    <row r="44">
      <c r="A44" t="inlineStr">
        <is>
          <t xml:space="preserve">   Azul claro = Calculado automáticamente</t>
        </is>
      </c>
    </row>
    <row r="45">
      <c r="A45" t="inlineStr">
        <is>
          <t xml:space="preserve">   Verde = Resultado/Meta cumplida</t>
        </is>
      </c>
    </row>
    <row r="46">
      <c r="A46" t="inlineStr">
        <is>
          <t xml:space="preserve">   Rojo = Alerta/Meta no cumplida</t>
        </is>
      </c>
    </row>
  </sheetData>
  <mergeCells count="5">
    <mergeCell ref="A24:F24"/>
    <mergeCell ref="A1:F1"/>
    <mergeCell ref="A5:F5"/>
    <mergeCell ref="A34:F34"/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>
      <c r="A1" s="1" t="inlineStr">
        <is>
          <t>MODELO FINANCIERO INTEGRADO - LA PALMA Y EL TUCÁN</t>
        </is>
      </c>
    </row>
    <row r="2">
      <c r="A2" s="2" t="inlineStr">
        <is>
          <t>Proyección Estratégica 2026-2028 | Todas las líneas de negocio</t>
        </is>
      </c>
    </row>
    <row r="4">
      <c r="A4" s="3" t="inlineStr">
        <is>
          <t>I. VARIABLES MACROECONÓMICAS</t>
        </is>
      </c>
    </row>
    <row r="5">
      <c r="A5" s="4" t="inlineStr">
        <is>
          <t>Variable</t>
        </is>
      </c>
      <c r="B5" s="4" t="inlineStr">
        <is>
          <t>Año 1 (2026)</t>
        </is>
      </c>
      <c r="C5" s="4" t="inlineStr">
        <is>
          <t>Año 2 (2027)</t>
        </is>
      </c>
      <c r="D5" s="4" t="inlineStr">
        <is>
          <t>Año 3 (2028)</t>
        </is>
      </c>
      <c r="E5" s="4" t="inlineStr">
        <is>
          <t>Unidad</t>
        </is>
      </c>
      <c r="F5" s="4" t="inlineStr">
        <is>
          <t>Notas</t>
        </is>
      </c>
    </row>
    <row r="6">
      <c r="A6" s="5" t="inlineStr">
        <is>
          <t>Tipo de Cambio USD/COP</t>
        </is>
      </c>
      <c r="B6" s="6" t="n">
        <v>4000</v>
      </c>
      <c r="C6" s="6" t="n">
        <v>4100</v>
      </c>
      <c r="D6" s="6" t="n">
        <v>4200</v>
      </c>
      <c r="E6" s="5" t="inlineStr">
        <is>
          <t>COP/USD</t>
        </is>
      </c>
      <c r="F6" s="5" t="inlineStr">
        <is>
          <t>Supuesto conservador</t>
        </is>
      </c>
    </row>
    <row r="7">
      <c r="A7" s="5" t="inlineStr">
        <is>
          <t>Inflación Colombia</t>
        </is>
      </c>
      <c r="B7" s="6" t="inlineStr">
        <is>
          <t>6.0%</t>
        </is>
      </c>
      <c r="C7" s="6" t="inlineStr">
        <is>
          <t>5.0%</t>
        </is>
      </c>
      <c r="D7" s="6" t="inlineStr">
        <is>
          <t>4.5%</t>
        </is>
      </c>
      <c r="E7" s="5" t="inlineStr">
        <is>
          <t>%</t>
        </is>
      </c>
      <c r="F7" s="5" t="inlineStr">
        <is>
          <t>Proyección BanRep</t>
        </is>
      </c>
    </row>
    <row r="8">
      <c r="A8" s="5" t="inlineStr">
        <is>
          <t>Inflación USA</t>
        </is>
      </c>
      <c r="B8" s="6" t="inlineStr">
        <is>
          <t>3.0%</t>
        </is>
      </c>
      <c r="C8" s="6" t="inlineStr">
        <is>
          <t>2.5%</t>
        </is>
      </c>
      <c r="D8" s="6" t="inlineStr">
        <is>
          <t>2.5%</t>
        </is>
      </c>
      <c r="E8" s="5" t="inlineStr">
        <is>
          <t>%</t>
        </is>
      </c>
      <c r="F8" s="5" t="inlineStr">
        <is>
          <t>Proyección FED</t>
        </is>
      </c>
    </row>
    <row r="9">
      <c r="A9" s="5" t="inlineStr">
        <is>
          <t>Tasa Crecimiento Sector</t>
        </is>
      </c>
      <c r="B9" s="6" t="inlineStr">
        <is>
          <t>8%</t>
        </is>
      </c>
      <c r="C9" s="6" t="inlineStr">
        <is>
          <t>10%</t>
        </is>
      </c>
      <c r="D9" s="6" t="inlineStr">
        <is>
          <t>12%</t>
        </is>
      </c>
      <c r="E9" s="5" t="inlineStr">
        <is>
          <t>%</t>
        </is>
      </c>
      <c r="F9" s="5" t="inlineStr">
        <is>
          <t>Café especial global</t>
        </is>
      </c>
    </row>
    <row r="11">
      <c r="A11" s="3" t="inlineStr">
        <is>
          <t>II. VARIABLES DE PRODUCCIÓN Y CAPACIDAD</t>
        </is>
      </c>
    </row>
    <row r="12">
      <c r="A12" s="4" t="inlineStr">
        <is>
          <t>Variable</t>
        </is>
      </c>
      <c r="B12" s="4" t="inlineStr">
        <is>
          <t>Año 1</t>
        </is>
      </c>
      <c r="C12" s="4" t="inlineStr">
        <is>
          <t>Año 2</t>
        </is>
      </c>
      <c r="D12" s="4" t="inlineStr">
        <is>
          <t>Año 3</t>
        </is>
      </c>
      <c r="E12" s="4" t="inlineStr">
        <is>
          <t>Unidad</t>
        </is>
      </c>
      <c r="F12" s="4" t="inlineStr">
        <is>
          <t>Notas</t>
        </is>
      </c>
    </row>
    <row r="13">
      <c r="A13" s="5" t="inlineStr">
        <is>
          <t>Área Cultivo Finca (Ha)</t>
        </is>
      </c>
      <c r="B13" s="6" t="n">
        <v>13</v>
      </c>
      <c r="C13" s="6" t="n">
        <v>13</v>
      </c>
      <c r="D13" s="6" t="n">
        <v>15</v>
      </c>
      <c r="E13" s="5" t="inlineStr">
        <is>
          <t>Ha</t>
        </is>
      </c>
      <c r="F13" s="5" t="inlineStr">
        <is>
          <t>Variedades exóticas</t>
        </is>
      </c>
    </row>
    <row r="14">
      <c r="A14" s="5" t="inlineStr">
        <is>
          <t>Rendimiento kg CPS/Ha</t>
        </is>
      </c>
      <c r="B14" s="6" t="n">
        <v>353</v>
      </c>
      <c r="C14" s="6" t="n">
        <v>370</v>
      </c>
      <c r="D14" s="6" t="n">
        <v>385</v>
      </c>
      <c r="E14" s="5" t="inlineStr">
        <is>
          <t>kg/Ha</t>
        </is>
      </c>
      <c r="F14" s="5" t="inlineStr">
        <is>
          <t>Meta de mejora</t>
        </is>
      </c>
    </row>
    <row r="15">
      <c r="A15" s="5" t="inlineStr">
        <is>
          <t>Producción Propia (kg CPS)</t>
        </is>
      </c>
      <c r="B15" s="7">
        <f>B11*B12</f>
        <v/>
      </c>
      <c r="C15" s="7">
        <f>C11*C12</f>
        <v/>
      </c>
      <c r="D15" s="7">
        <f>D11*D12</f>
        <v/>
      </c>
      <c r="E15" s="5" t="inlineStr">
        <is>
          <t>kg</t>
        </is>
      </c>
      <c r="F15" s="5" t="inlineStr">
        <is>
          <t>Calculado</t>
        </is>
      </c>
    </row>
    <row r="16">
      <c r="A16" s="5" t="inlineStr">
        <is>
          <t>Volumen N&amp;C Comprado (kg cereza)</t>
        </is>
      </c>
      <c r="B16" s="6" t="n">
        <v>220000</v>
      </c>
      <c r="C16" s="6" t="n">
        <v>250000</v>
      </c>
      <c r="D16" s="6" t="n">
        <v>280000</v>
      </c>
      <c r="E16" s="5" t="inlineStr">
        <is>
          <t>kg</t>
        </is>
      </c>
      <c r="F16" s="5" t="inlineStr">
        <is>
          <t>Proyección compras</t>
        </is>
      </c>
    </row>
    <row r="17">
      <c r="A17" s="5" t="inlineStr">
        <is>
          <t>Factor Conversión Cereza→CPS</t>
        </is>
      </c>
      <c r="B17" s="6" t="n">
        <v>7.3</v>
      </c>
      <c r="C17" s="6" t="n">
        <v>7.3</v>
      </c>
      <c r="D17" s="6" t="n">
        <v>7.3</v>
      </c>
      <c r="E17" s="5" t="inlineStr">
        <is>
          <t>kg/kg</t>
        </is>
      </c>
      <c r="F17" s="5" t="inlineStr">
        <is>
          <t>Técnico fijo</t>
        </is>
      </c>
    </row>
    <row r="18">
      <c r="A18" s="5" t="inlineStr">
        <is>
          <t>Volumen N&amp;C (kg CPS)</t>
        </is>
      </c>
      <c r="B18" s="7">
        <f>B14/B15</f>
        <v/>
      </c>
      <c r="C18" s="7">
        <f>C14/C15</f>
        <v/>
      </c>
      <c r="D18" s="7">
        <f>D14/D15</f>
        <v/>
      </c>
      <c r="E18" s="5" t="inlineStr">
        <is>
          <t>kg</t>
        </is>
      </c>
      <c r="F18" s="5" t="inlineStr">
        <is>
          <t>Calculado</t>
        </is>
      </c>
    </row>
    <row r="19">
      <c r="A19" s="5" t="inlineStr">
        <is>
          <t>Producción Total (kg CPS)</t>
        </is>
      </c>
      <c r="B19" s="7">
        <f>B13+B16</f>
        <v/>
      </c>
      <c r="C19" s="7">
        <f>C13+C16</f>
        <v/>
      </c>
      <c r="D19" s="7">
        <f>D13+D16</f>
        <v/>
      </c>
      <c r="E19" s="5" t="inlineStr">
        <is>
          <t>kg</t>
        </is>
      </c>
      <c r="F19" s="5" t="inlineStr">
        <is>
          <t>Finca + N&amp;C</t>
        </is>
      </c>
    </row>
    <row r="20">
      <c r="A20" s="5" t="inlineStr">
        <is>
          <t>Conversión kg a lb</t>
        </is>
      </c>
      <c r="B20" s="6" t="n">
        <v>2.2046</v>
      </c>
      <c r="C20" s="6" t="n">
        <v>2.2046</v>
      </c>
      <c r="D20" s="6" t="n">
        <v>2.2046</v>
      </c>
      <c r="E20" s="5" t="inlineStr">
        <is>
          <t>lb/kg</t>
        </is>
      </c>
      <c r="F20" s="5" t="inlineStr">
        <is>
          <t>Fijo</t>
        </is>
      </c>
    </row>
    <row r="21">
      <c r="A21" s="5" t="inlineStr">
        <is>
          <t>Producción Total (lbs)</t>
        </is>
      </c>
      <c r="B21" s="7">
        <f>B17*B18</f>
        <v/>
      </c>
      <c r="C21" s="7">
        <f>C17*C18</f>
        <v/>
      </c>
      <c r="D21" s="7">
        <f>D17*D18</f>
        <v/>
      </c>
      <c r="E21" s="5" t="inlineStr">
        <is>
          <t>lbs</t>
        </is>
      </c>
      <c r="F21" s="5" t="inlineStr">
        <is>
          <t>Para venta</t>
        </is>
      </c>
    </row>
    <row r="22">
      <c r="A22" s="5" t="inlineStr">
        <is>
          <t>Capacidad Procesamiento (kg/día)</t>
        </is>
      </c>
      <c r="B22" s="6" t="n">
        <v>3000</v>
      </c>
      <c r="C22" s="6" t="n">
        <v>3000</v>
      </c>
      <c r="D22" s="6" t="n">
        <v>3500</v>
      </c>
      <c r="E22" s="5" t="inlineStr">
        <is>
          <t>kg</t>
        </is>
      </c>
      <c r="F22" s="5" t="inlineStr">
        <is>
          <t>Planta beneficio</t>
        </is>
      </c>
    </row>
    <row r="24">
      <c r="A24" s="3" t="inlineStr">
        <is>
          <t>III. DISTRIBUCIÓN DE VOLUMEN POR SERIE (% de Producción Propia)</t>
        </is>
      </c>
    </row>
    <row r="25">
      <c r="A25" s="4" t="inlineStr">
        <is>
          <t>Serie</t>
        </is>
      </c>
      <c r="B25" s="4" t="inlineStr">
        <is>
          <t>Año 1 (%)</t>
        </is>
      </c>
      <c r="C25" s="4" t="inlineStr">
        <is>
          <t>Año 2 (%)</t>
        </is>
      </c>
      <c r="D25" s="4" t="inlineStr">
        <is>
          <t>Año 3 (%)</t>
        </is>
      </c>
      <c r="E25" s="4" t="inlineStr">
        <is>
          <t>Descripción</t>
        </is>
      </c>
      <c r="F25" s="4" t="inlineStr">
        <is>
          <t>Precio Rango</t>
        </is>
      </c>
    </row>
    <row r="26">
      <c r="A26" s="5" t="inlineStr">
        <is>
          <t>Aurora Series (Nanolotes)</t>
        </is>
      </c>
      <c r="B26" s="6" t="inlineStr">
        <is>
          <t>5%</t>
        </is>
      </c>
      <c r="C26" s="6" t="inlineStr">
        <is>
          <t>6%</t>
        </is>
      </c>
      <c r="D26" s="6" t="inlineStr">
        <is>
          <t>7%</t>
        </is>
      </c>
      <c r="E26" s="5" t="inlineStr">
        <is>
          <t>Excepcionales $70-120/lb</t>
        </is>
      </c>
      <c r="F26" s="5" t="inlineStr">
        <is>
          <t>$70-$120/lb</t>
        </is>
      </c>
    </row>
    <row r="27">
      <c r="A27" s="5" t="inlineStr">
        <is>
          <t>Alma Series (Microlotes)</t>
        </is>
      </c>
      <c r="B27" s="6" t="inlineStr">
        <is>
          <t>25%</t>
        </is>
      </c>
      <c r="C27" s="6" t="inlineStr">
        <is>
          <t>27%</t>
        </is>
      </c>
      <c r="D27" s="6" t="inlineStr">
        <is>
          <t>28%</t>
        </is>
      </c>
      <c r="E27" s="5" t="inlineStr">
        <is>
          <t>Sobresalientes $50-70/lb</t>
        </is>
      </c>
      <c r="F27" s="5" t="inlineStr">
        <is>
          <t>$50-$70/lb</t>
        </is>
      </c>
    </row>
    <row r="28">
      <c r="A28" s="5" t="inlineStr">
        <is>
          <t>Landscape Series</t>
        </is>
      </c>
      <c r="B28" s="6" t="inlineStr">
        <is>
          <t>40%</t>
        </is>
      </c>
      <c r="C28" s="6" t="inlineStr">
        <is>
          <t>38%</t>
        </is>
      </c>
      <c r="D28" s="6" t="inlineStr">
        <is>
          <t>35%</t>
        </is>
      </c>
      <c r="E28" s="5" t="inlineStr">
        <is>
          <t>Representativos $42-50/lb</t>
        </is>
      </c>
      <c r="F28" s="5" t="inlineStr">
        <is>
          <t>$42-$50/lb</t>
        </is>
      </c>
    </row>
    <row r="29">
      <c r="A29" s="5" t="inlineStr">
        <is>
          <t>CraftLab Custom</t>
        </is>
      </c>
      <c r="B29" s="6" t="inlineStr">
        <is>
          <t>10%</t>
        </is>
      </c>
      <c r="C29" s="6" t="inlineStr">
        <is>
          <t>12%</t>
        </is>
      </c>
      <c r="D29" s="6" t="inlineStr">
        <is>
          <t>15%</t>
        </is>
      </c>
      <c r="E29" s="5" t="inlineStr">
        <is>
          <t>Co-creados $60-100/lb</t>
        </is>
      </c>
      <c r="F29" s="5" t="inlineStr">
        <is>
          <t>$60-$100/lb</t>
        </is>
      </c>
    </row>
    <row r="30">
      <c r="A30" s="5" t="inlineStr">
        <is>
          <t>Reserva Patrocinios</t>
        </is>
      </c>
      <c r="B30" s="6" t="inlineStr">
        <is>
          <t>10%</t>
        </is>
      </c>
      <c r="C30" s="6" t="inlineStr">
        <is>
          <t>10%</t>
        </is>
      </c>
      <c r="D30" s="6" t="inlineStr">
        <is>
          <t>10%</t>
        </is>
      </c>
      <c r="E30" s="5" t="inlineStr">
        <is>
          <t>Beat Series</t>
        </is>
      </c>
      <c r="F30" s="5" t="inlineStr">
        <is>
          <t>Subsidiado</t>
        </is>
      </c>
    </row>
    <row r="31">
      <c r="A31" s="5" t="inlineStr">
        <is>
          <t>Merma/Calidad Inferior</t>
        </is>
      </c>
      <c r="B31" s="6" t="inlineStr">
        <is>
          <t>10%</t>
        </is>
      </c>
      <c r="C31" s="6" t="inlineStr">
        <is>
          <t>7%</t>
        </is>
      </c>
      <c r="D31" s="6" t="inlineStr">
        <is>
          <t>5%</t>
        </is>
      </c>
      <c r="E31" s="5" t="inlineStr">
        <is>
          <t>Pérdidas proceso</t>
        </is>
      </c>
      <c r="F31" s="5" t="inlineStr">
        <is>
          <t>N/A</t>
        </is>
      </c>
    </row>
    <row r="32">
      <c r="A32" s="8" t="inlineStr">
        <is>
          <t>TOTAL</t>
        </is>
      </c>
      <c r="B32" s="8" t="inlineStr">
        <is>
          <t>100%</t>
        </is>
      </c>
      <c r="C32" s="8" t="inlineStr">
        <is>
          <t>100%</t>
        </is>
      </c>
      <c r="D32" s="8" t="inlineStr">
        <is>
          <t>100%</t>
        </is>
      </c>
      <c r="E32" s="8" t="inlineStr"/>
      <c r="F32" s="8" t="inlineStr"/>
    </row>
    <row r="34">
      <c r="A34" s="3" t="inlineStr">
        <is>
          <t>IV. PRECIOS DE VENTA B2B ($/lb)</t>
        </is>
      </c>
    </row>
    <row r="35">
      <c r="A35" s="4" t="inlineStr">
        <is>
          <t>Línea de Producto</t>
        </is>
      </c>
      <c r="B35" s="4" t="inlineStr">
        <is>
          <t>Año 1</t>
        </is>
      </c>
      <c r="C35" s="4" t="inlineStr">
        <is>
          <t>Año 2</t>
        </is>
      </c>
      <c r="D35" s="4" t="inlineStr">
        <is>
          <t>Año 3</t>
        </is>
      </c>
      <c r="E35" s="4" t="inlineStr">
        <is>
          <t>Unidad</t>
        </is>
      </c>
      <c r="F35" s="4" t="inlineStr">
        <is>
          <t>Estrategia</t>
        </is>
      </c>
    </row>
    <row r="36">
      <c r="A36" s="5" t="inlineStr">
        <is>
          <t>Aurora Series</t>
        </is>
      </c>
      <c r="B36" s="6" t="n">
        <v>85</v>
      </c>
      <c r="C36" s="6" t="n">
        <v>90</v>
      </c>
      <c r="D36" s="6" t="n">
        <v>95</v>
      </c>
      <c r="E36" s="5" t="inlineStr">
        <is>
          <t>USD/lb</t>
        </is>
      </c>
      <c r="F36" s="5" t="inlineStr">
        <is>
          <t>Premium máximo</t>
        </is>
      </c>
    </row>
    <row r="37">
      <c r="A37" s="5" t="inlineStr">
        <is>
          <t>Alma Series</t>
        </is>
      </c>
      <c r="B37" s="6" t="n">
        <v>55</v>
      </c>
      <c r="C37" s="6" t="n">
        <v>58</v>
      </c>
      <c r="D37" s="6" t="n">
        <v>60</v>
      </c>
      <c r="E37" s="5" t="inlineStr">
        <is>
          <t>USD/lb</t>
        </is>
      </c>
      <c r="F37" s="5" t="inlineStr">
        <is>
          <t>Core premium</t>
        </is>
      </c>
    </row>
    <row r="38">
      <c r="A38" s="5" t="inlineStr">
        <is>
          <t>Landscape Series</t>
        </is>
      </c>
      <c r="B38" s="6" t="n">
        <v>45</v>
      </c>
      <c r="C38" s="6" t="n">
        <v>46</v>
      </c>
      <c r="D38" s="6" t="n">
        <v>48</v>
      </c>
      <c r="E38" s="5" t="inlineStr">
        <is>
          <t>USD/lb</t>
        </is>
      </c>
      <c r="F38" s="5" t="inlineStr">
        <is>
          <t>Base premium</t>
        </is>
      </c>
    </row>
    <row r="39">
      <c r="A39" s="5" t="inlineStr">
        <is>
          <t>CraftLab Custom</t>
        </is>
      </c>
      <c r="B39" s="6" t="n">
        <v>75</v>
      </c>
      <c r="C39" s="6" t="n">
        <v>80</v>
      </c>
      <c r="D39" s="6" t="n">
        <v>85</v>
      </c>
      <c r="E39" s="5" t="inlineStr">
        <is>
          <t>USD/lb</t>
        </is>
      </c>
      <c r="F39" s="5" t="inlineStr">
        <is>
          <t>Exclusividad</t>
        </is>
      </c>
    </row>
    <row r="40">
      <c r="A40" s="5" t="inlineStr">
        <is>
          <t>N&amp;C / Symbiosis</t>
        </is>
      </c>
      <c r="B40" s="6" t="n">
        <v>28</v>
      </c>
      <c r="C40" s="6" t="n">
        <v>30</v>
      </c>
      <c r="D40" s="6" t="n">
        <v>32</v>
      </c>
      <c r="E40" s="5" t="inlineStr">
        <is>
          <t>USD/lb</t>
        </is>
      </c>
      <c r="F40" s="5" t="inlineStr">
        <is>
          <t>Impacto social</t>
        </is>
      </c>
    </row>
    <row r="41">
      <c r="A41" s="5" t="inlineStr">
        <is>
          <t>Precio Promedio Objetivo</t>
        </is>
      </c>
      <c r="B41" s="6" t="n">
        <v>42</v>
      </c>
      <c r="C41" s="6" t="n">
        <v>44</v>
      </c>
      <c r="D41" s="6" t="n">
        <v>46</v>
      </c>
      <c r="E41" s="5" t="inlineStr">
        <is>
          <t>USD/lb</t>
        </is>
      </c>
      <c r="F41" s="5" t="inlineStr">
        <is>
          <t>Mínimo aceptable</t>
        </is>
      </c>
    </row>
    <row r="43">
      <c r="A43" s="3" t="inlineStr">
        <is>
          <t>V. COSTOS DE COMPRA N&amp;C (COP/kg cereza)</t>
        </is>
      </c>
    </row>
    <row r="44">
      <c r="A44" s="4" t="inlineStr">
        <is>
          <t>Componente</t>
        </is>
      </c>
      <c r="B44" s="4" t="inlineStr">
        <is>
          <t>Año 1</t>
        </is>
      </c>
      <c r="C44" s="4" t="inlineStr">
        <is>
          <t>Año 2</t>
        </is>
      </c>
      <c r="D44" s="4" t="inlineStr">
        <is>
          <t>Año 3</t>
        </is>
      </c>
      <c r="E44" s="4" t="inlineStr">
        <is>
          <t>Unidad</t>
        </is>
      </c>
      <c r="F44" s="4" t="inlineStr">
        <is>
          <t>% del Total</t>
        </is>
      </c>
    </row>
    <row r="45">
      <c r="A45" s="5" t="inlineStr">
        <is>
          <t>Precio Base FNC</t>
        </is>
      </c>
      <c r="B45" s="6" t="n">
        <v>3500</v>
      </c>
      <c r="C45" s="6" t="n">
        <v>3700</v>
      </c>
      <c r="D45" s="6" t="n">
        <v>3900</v>
      </c>
      <c r="E45" s="5" t="inlineStr">
        <is>
          <t>COP/kg</t>
        </is>
      </c>
      <c r="F45" s="5" t="inlineStr">
        <is>
          <t>72%</t>
        </is>
      </c>
    </row>
    <row r="46">
      <c r="A46" s="5" t="inlineStr">
        <is>
          <t>Prima por Calidad</t>
        </is>
      </c>
      <c r="B46" s="6" t="n">
        <v>250</v>
      </c>
      <c r="C46" s="6" t="n">
        <v>275</v>
      </c>
      <c r="D46" s="6" t="n">
        <v>300</v>
      </c>
      <c r="E46" s="5" t="inlineStr">
        <is>
          <t>COP/kg</t>
        </is>
      </c>
      <c r="F46" s="5" t="inlineStr">
        <is>
          <t>5%</t>
        </is>
      </c>
    </row>
    <row r="47">
      <c r="A47" s="5" t="inlineStr">
        <is>
          <t>Prima por Fidelidad</t>
        </is>
      </c>
      <c r="B47" s="6" t="n">
        <v>200</v>
      </c>
      <c r="C47" s="6" t="n">
        <v>220</v>
      </c>
      <c r="D47" s="6" t="n">
        <v>240</v>
      </c>
      <c r="E47" s="5" t="inlineStr">
        <is>
          <t>COP/kg</t>
        </is>
      </c>
      <c r="F47" s="5" t="inlineStr">
        <is>
          <t>4%</t>
        </is>
      </c>
    </row>
    <row r="48">
      <c r="A48" s="5" t="inlineStr">
        <is>
          <t>Prima Mejora Cultivo (Compost)</t>
        </is>
      </c>
      <c r="B48" s="6" t="n">
        <v>284</v>
      </c>
      <c r="C48" s="6" t="n">
        <v>300</v>
      </c>
      <c r="D48" s="6" t="n">
        <v>320</v>
      </c>
      <c r="E48" s="5" t="inlineStr">
        <is>
          <t>COP/kg</t>
        </is>
      </c>
      <c r="F48" s="5" t="inlineStr">
        <is>
          <t>6%</t>
        </is>
      </c>
    </row>
    <row r="49">
      <c r="A49" s="5" t="inlineStr">
        <is>
          <t>Auxilios (Transporte + MO)</t>
        </is>
      </c>
      <c r="B49" s="6" t="n">
        <v>234</v>
      </c>
      <c r="C49" s="6" t="n">
        <v>250</v>
      </c>
      <c r="D49" s="6" t="n">
        <v>270</v>
      </c>
      <c r="E49" s="5" t="inlineStr">
        <is>
          <t>COP/kg</t>
        </is>
      </c>
      <c r="F49" s="5" t="inlineStr">
        <is>
          <t>5%</t>
        </is>
      </c>
    </row>
    <row r="50">
      <c r="A50" s="8" t="inlineStr">
        <is>
          <t>Costo Total Compra N&amp;C</t>
        </is>
      </c>
      <c r="B50" s="8">
        <f>SUM(B47:B51)</f>
        <v/>
      </c>
      <c r="C50" s="8">
        <f>SUM(C47:C51)</f>
        <v/>
      </c>
      <c r="D50" s="8">
        <f>SUM(D47:D51)</f>
        <v/>
      </c>
      <c r="E50" s="8" t="inlineStr">
        <is>
          <t>COP/kg</t>
        </is>
      </c>
      <c r="F50" s="8" t="inlineStr">
        <is>
          <t>100%</t>
        </is>
      </c>
    </row>
    <row r="51">
      <c r="A51" s="5" t="inlineStr">
        <is>
          <t>Costo Total USD/kg cereza</t>
        </is>
      </c>
      <c r="B51" s="7">
        <f>B52/B7</f>
        <v/>
      </c>
      <c r="C51" s="7">
        <f>C52/C7</f>
        <v/>
      </c>
      <c r="D51" s="7">
        <f>D52/D7</f>
        <v/>
      </c>
      <c r="E51" s="5" t="inlineStr">
        <is>
          <t>USD/kg</t>
        </is>
      </c>
      <c r="F51" s="5" t="inlineStr">
        <is>
          <t>Conversión</t>
        </is>
      </c>
    </row>
    <row r="52">
      <c r="A52" s="5" t="inlineStr">
        <is>
          <t>Costo Total USD/lb CPS</t>
        </is>
      </c>
      <c r="B52" s="7">
        <f>(B53*B15)/B18</f>
        <v/>
      </c>
      <c r="C52" s="7">
        <f>(C53*C15)/C18</f>
        <v/>
      </c>
      <c r="D52" s="7">
        <f>(D53*D15)/D18</f>
        <v/>
      </c>
      <c r="E52" s="5" t="inlineStr">
        <is>
          <t>USD/lb</t>
        </is>
      </c>
      <c r="F52" s="5" t="inlineStr">
        <is>
          <t>Para P&amp;G</t>
        </is>
      </c>
    </row>
    <row r="54">
      <c r="A54" s="3" t="inlineStr">
        <is>
          <t>VI. COSTOS DE PRODUCCIÓN FINCA (USD/lb CPS)</t>
        </is>
      </c>
    </row>
    <row r="55">
      <c r="A55" s="4" t="inlineStr">
        <is>
          <t>Componente</t>
        </is>
      </c>
      <c r="B55" s="4" t="inlineStr">
        <is>
          <t>Año 1</t>
        </is>
      </c>
      <c r="C55" s="4" t="inlineStr">
        <is>
          <t>Año 2</t>
        </is>
      </c>
      <c r="D55" s="4" t="inlineStr">
        <is>
          <t>Año 3</t>
        </is>
      </c>
      <c r="E55" s="4" t="inlineStr">
        <is>
          <t>Unidad</t>
        </is>
      </c>
      <c r="F55" s="4" t="inlineStr">
        <is>
          <t>Notas</t>
        </is>
      </c>
    </row>
    <row r="56">
      <c r="A56" s="5" t="inlineStr">
        <is>
          <t>Insumos Agrícolas/Fertilización</t>
        </is>
      </c>
      <c r="B56" s="6" t="n">
        <v>3.5</v>
      </c>
      <c r="C56" s="6" t="n">
        <v>3.6</v>
      </c>
      <c r="D56" s="6" t="n">
        <v>3.7</v>
      </c>
      <c r="E56" s="5" t="inlineStr">
        <is>
          <t>USD/lb</t>
        </is>
      </c>
      <c r="F56" s="5" t="inlineStr">
        <is>
          <t>Regenerativo</t>
        </is>
      </c>
    </row>
    <row r="57">
      <c r="A57" s="5" t="inlineStr">
        <is>
          <t>Mano de Obra Recolección</t>
        </is>
      </c>
      <c r="B57" s="6" t="n">
        <v>4</v>
      </c>
      <c r="C57" s="6" t="n">
        <v>4.2</v>
      </c>
      <c r="D57" s="6" t="n">
        <v>4.4</v>
      </c>
      <c r="E57" s="5" t="inlineStr">
        <is>
          <t>USD/lb</t>
        </is>
      </c>
      <c r="F57" s="5" t="inlineStr">
        <is>
          <t>Equipo élite</t>
        </is>
      </c>
    </row>
    <row r="58">
      <c r="A58" s="5" t="inlineStr">
        <is>
          <t>Procesamiento (Beneficio)</t>
        </is>
      </c>
      <c r="B58" s="6" t="n">
        <v>2.5</v>
      </c>
      <c r="C58" s="6" t="n">
        <v>2.6</v>
      </c>
      <c r="D58" s="6" t="n">
        <v>2.7</v>
      </c>
      <c r="E58" s="5" t="inlineStr">
        <is>
          <t>USD/lb</t>
        </is>
      </c>
      <c r="F58" s="5" t="inlineStr">
        <is>
          <t>Fermentación</t>
        </is>
      </c>
    </row>
    <row r="59">
      <c r="A59" s="5" t="inlineStr">
        <is>
          <t>Secado y Estabilización</t>
        </is>
      </c>
      <c r="B59" s="6" t="n">
        <v>1.5</v>
      </c>
      <c r="C59" s="6" t="n">
        <v>1.5</v>
      </c>
      <c r="D59" s="6" t="n">
        <v>1.6</v>
      </c>
      <c r="E59" s="5" t="inlineStr">
        <is>
          <t>USD/lb</t>
        </is>
      </c>
      <c r="F59" s="5" t="inlineStr">
        <is>
          <t>Solar + mecánico</t>
        </is>
      </c>
    </row>
    <row r="60">
      <c r="A60" s="5" t="inlineStr">
        <is>
          <t>Control Calidad/Laboratorio</t>
        </is>
      </c>
      <c r="B60" s="6" t="n">
        <v>1</v>
      </c>
      <c r="C60" s="6" t="n">
        <v>1</v>
      </c>
      <c r="D60" s="6" t="n">
        <v>1.1</v>
      </c>
      <c r="E60" s="5" t="inlineStr">
        <is>
          <t>USD/lb</t>
        </is>
      </c>
      <c r="F60" s="5" t="inlineStr">
        <is>
          <t>SCA, HPLC</t>
        </is>
      </c>
    </row>
    <row r="61">
      <c r="A61" s="5" t="inlineStr">
        <is>
          <t>Almacenamiento (GrainPro)</t>
        </is>
      </c>
      <c r="B61" s="6" t="n">
        <v>0.5</v>
      </c>
      <c r="C61" s="6" t="n">
        <v>0.5</v>
      </c>
      <c r="D61" s="6" t="n">
        <v>0.5</v>
      </c>
      <c r="E61" s="5" t="inlineStr">
        <is>
          <t>USD/lb</t>
        </is>
      </c>
      <c r="F61" s="5" t="inlineStr">
        <is>
          <t>60 días mín</t>
        </is>
      </c>
    </row>
    <row r="62">
      <c r="A62" s="8" t="inlineStr">
        <is>
          <t>Costo Producción Finca</t>
        </is>
      </c>
      <c r="B62" s="8">
        <f>SUM(B58:B63)</f>
        <v/>
      </c>
      <c r="C62" s="8">
        <f>SUM(C58:C63)</f>
        <v/>
      </c>
      <c r="D62" s="8">
        <f>SUM(D58:D63)</f>
        <v/>
      </c>
      <c r="E62" s="8" t="inlineStr">
        <is>
          <t>USD/lb</t>
        </is>
      </c>
      <c r="F62" s="8" t="inlineStr">
        <is>
          <t>Total</t>
        </is>
      </c>
    </row>
    <row r="64">
      <c r="A64" s="3" t="inlineStr">
        <is>
          <t>VII. GASTOS FIJOS OPERATIVOS (USD/año)</t>
        </is>
      </c>
    </row>
    <row r="65">
      <c r="A65" s="4" t="inlineStr">
        <is>
          <t>Concepto</t>
        </is>
      </c>
      <c r="B65" s="4" t="inlineStr">
        <is>
          <t>Año 1</t>
        </is>
      </c>
      <c r="C65" s="4" t="inlineStr">
        <is>
          <t>Año 2</t>
        </is>
      </c>
      <c r="D65" s="4" t="inlineStr">
        <is>
          <t>Año 3</t>
        </is>
      </c>
      <c r="E65" s="4" t="inlineStr">
        <is>
          <t>Unidad</t>
        </is>
      </c>
      <c r="F65" s="4" t="inlineStr">
        <is>
          <t>Notas</t>
        </is>
      </c>
    </row>
    <row r="66">
      <c r="A66" s="5" t="inlineStr">
        <is>
          <t>Nómina Administrativa</t>
        </is>
      </c>
      <c r="B66" s="6" t="n">
        <v>36000</v>
      </c>
      <c r="C66" s="6" t="n">
        <v>38000</v>
      </c>
      <c r="D66" s="6" t="n">
        <v>40000</v>
      </c>
      <c r="E66" s="5" t="inlineStr">
        <is>
          <t>USD/año</t>
        </is>
      </c>
      <c r="F66" s="5" t="inlineStr">
        <is>
          <t>3 personas</t>
        </is>
      </c>
    </row>
    <row r="67">
      <c r="A67" s="5" t="inlineStr">
        <is>
          <t>Nómina Operativa (21 emp.)</t>
        </is>
      </c>
      <c r="B67" s="6" t="n">
        <v>84000</v>
      </c>
      <c r="C67" s="6" t="n">
        <v>88000</v>
      </c>
      <c r="D67" s="6" t="n">
        <v>92000</v>
      </c>
      <c r="E67" s="5" t="inlineStr">
        <is>
          <t>USD/año</t>
        </is>
      </c>
      <c r="F67" s="5" t="inlineStr">
        <is>
          <t>Fijos + temp.</t>
        </is>
      </c>
    </row>
    <row r="68">
      <c r="A68" s="5" t="inlineStr">
        <is>
          <t>Servicios (Agua, Luz, etc.)</t>
        </is>
      </c>
      <c r="B68" s="6" t="n">
        <v>12000</v>
      </c>
      <c r="C68" s="6" t="n">
        <v>13000</v>
      </c>
      <c r="D68" s="6" t="n">
        <v>14000</v>
      </c>
      <c r="E68" s="5" t="inlineStr">
        <is>
          <t>USD/año</t>
        </is>
      </c>
      <c r="F68" s="5" t="inlineStr">
        <is>
          <t>Incluye PTAR</t>
        </is>
      </c>
    </row>
    <row r="69">
      <c r="A69" s="5" t="inlineStr">
        <is>
          <t>Mantenimiento Infraestructura</t>
        </is>
      </c>
      <c r="B69" s="6" t="n">
        <v>8000</v>
      </c>
      <c r="C69" s="6" t="n">
        <v>9000</v>
      </c>
      <c r="D69" s="6" t="n">
        <v>10000</v>
      </c>
      <c r="E69" s="5" t="inlineStr">
        <is>
          <t>USD/año</t>
        </is>
      </c>
      <c r="F69" s="5" t="inlineStr">
        <is>
          <t>Planta, equipos</t>
        </is>
      </c>
    </row>
    <row r="70">
      <c r="A70" s="5" t="inlineStr">
        <is>
          <t>Seguros y Legal</t>
        </is>
      </c>
      <c r="B70" s="6" t="n">
        <v>5000</v>
      </c>
      <c r="C70" s="6" t="n">
        <v>5500</v>
      </c>
      <c r="D70" s="6" t="n">
        <v>6000</v>
      </c>
      <c r="E70" s="5" t="inlineStr">
        <is>
          <t>USD/año</t>
        </is>
      </c>
      <c r="F70" s="5" t="inlineStr"/>
    </row>
    <row r="71">
      <c r="A71" s="5" t="inlineStr">
        <is>
          <t>Gestión Ambiental (PTAR, CO2)</t>
        </is>
      </c>
      <c r="B71" s="6" t="n">
        <v>6000</v>
      </c>
      <c r="C71" s="6" t="n">
        <v>6500</v>
      </c>
      <c r="D71" s="6" t="n">
        <v>7000</v>
      </c>
      <c r="E71" s="5" t="inlineStr">
        <is>
          <t>USD/año</t>
        </is>
      </c>
      <c r="F71" s="5" t="inlineStr">
        <is>
          <t>Huella carbono</t>
        </is>
      </c>
    </row>
    <row r="72">
      <c r="A72" s="5" t="inlineStr">
        <is>
          <t>I+D (Laboratorio, Cepas)</t>
        </is>
      </c>
      <c r="B72" s="6" t="n">
        <v>10000</v>
      </c>
      <c r="C72" s="6" t="n">
        <v>12000</v>
      </c>
      <c r="D72" s="6" t="n">
        <v>15000</v>
      </c>
      <c r="E72" s="5" t="inlineStr">
        <is>
          <t>USD/año</t>
        </is>
      </c>
      <c r="F72" s="5" t="inlineStr">
        <is>
          <t>Bio-Innovación</t>
        </is>
      </c>
    </row>
    <row r="73">
      <c r="A73" s="5" t="inlineStr">
        <is>
          <t>Depreciación</t>
        </is>
      </c>
      <c r="B73" s="6" t="n">
        <v>8000</v>
      </c>
      <c r="C73" s="6" t="n">
        <v>8500</v>
      </c>
      <c r="D73" s="6" t="n">
        <v>9000</v>
      </c>
      <c r="E73" s="5" t="inlineStr">
        <is>
          <t>USD/año</t>
        </is>
      </c>
      <c r="F73" s="5" t="inlineStr"/>
    </row>
    <row r="74">
      <c r="A74" s="8" t="inlineStr">
        <is>
          <t>Total Gastos Fijos</t>
        </is>
      </c>
      <c r="B74" s="8">
        <f>SUM(B68:B75)</f>
        <v/>
      </c>
      <c r="C74" s="8">
        <f>SUM(C68:C75)</f>
        <v/>
      </c>
      <c r="D74" s="8">
        <f>SUM(D68:D75)</f>
        <v/>
      </c>
      <c r="E74" s="8" t="inlineStr">
        <is>
          <t>USD/año</t>
        </is>
      </c>
      <c r="F74" s="8" t="inlineStr"/>
    </row>
    <row r="76">
      <c r="A76" s="3" t="inlineStr">
        <is>
          <t>VIII. PROGRAMA BEAT SERIES (Patrocinios)</t>
        </is>
      </c>
    </row>
    <row r="77">
      <c r="A77" s="4" t="inlineStr">
        <is>
          <t>Variable</t>
        </is>
      </c>
      <c r="B77" s="4" t="inlineStr">
        <is>
          <t>Año 1</t>
        </is>
      </c>
      <c r="C77" s="4" t="inlineStr">
        <is>
          <t>Año 2</t>
        </is>
      </c>
      <c r="D77" s="4" t="inlineStr">
        <is>
          <t>Año 3</t>
        </is>
      </c>
      <c r="E77" s="4" t="inlineStr">
        <is>
          <t>Unidad</t>
        </is>
      </c>
      <c r="F77" s="4" t="inlineStr">
        <is>
          <t>Notas</t>
        </is>
      </c>
    </row>
    <row r="78">
      <c r="A78" s="9" t="inlineStr">
        <is>
          <t>--- NIVEL 1: NACIONAL ---</t>
        </is>
      </c>
      <c r="B78" s="9" t="inlineStr"/>
      <c r="C78" s="9" t="inlineStr"/>
      <c r="D78" s="9" t="inlineStr"/>
      <c r="E78" s="9" t="inlineStr"/>
      <c r="F78" s="9" t="inlineStr"/>
    </row>
    <row r="79">
      <c r="A79" s="5" t="inlineStr">
        <is>
          <t>Competidores N1</t>
        </is>
      </c>
      <c r="B79" s="6" t="n">
        <v>5</v>
      </c>
      <c r="C79" s="6" t="n">
        <v>6</v>
      </c>
      <c r="D79" s="6" t="n">
        <v>7</v>
      </c>
      <c r="E79" s="5" t="inlineStr">
        <is>
          <t>personas</t>
        </is>
      </c>
      <c r="F79" s="5" t="inlineStr">
        <is>
          <t>Cuota anual</t>
        </is>
      </c>
    </row>
    <row r="80">
      <c r="A80" s="5" t="inlineStr">
        <is>
          <t>Volumen/Competidor N1</t>
        </is>
      </c>
      <c r="B80" s="6" t="n">
        <v>20</v>
      </c>
      <c r="C80" s="6" t="n">
        <v>20</v>
      </c>
      <c r="D80" s="6" t="n">
        <v>20</v>
      </c>
      <c r="E80" s="5" t="inlineStr">
        <is>
          <t>kg</t>
        </is>
      </c>
      <c r="F80" s="5" t="inlineStr">
        <is>
          <t>Máximo</t>
        </is>
      </c>
    </row>
    <row r="81">
      <c r="A81" s="5" t="inlineStr">
        <is>
          <t>Descuento N1</t>
        </is>
      </c>
      <c r="B81" s="6" t="inlineStr">
        <is>
          <t>30%</t>
        </is>
      </c>
      <c r="C81" s="6" t="inlineStr">
        <is>
          <t>30%</t>
        </is>
      </c>
      <c r="D81" s="6" t="inlineStr">
        <is>
          <t>30%</t>
        </is>
      </c>
      <c r="E81" s="5" t="inlineStr">
        <is>
          <t>%</t>
        </is>
      </c>
      <c r="F81" s="5" t="inlineStr">
        <is>
          <t>70% ingreso</t>
        </is>
      </c>
    </row>
    <row r="82">
      <c r="A82" s="5" t="inlineStr"/>
      <c r="B82" s="5" t="inlineStr"/>
      <c r="C82" s="5" t="inlineStr"/>
      <c r="D82" s="5" t="inlineStr"/>
      <c r="E82" s="5" t="inlineStr"/>
      <c r="F82" s="5" t="inlineStr"/>
    </row>
    <row r="83">
      <c r="A83" s="9" t="inlineStr">
        <is>
          <t>--- NIVEL 2A: MUNDIAL LEALTAD ---</t>
        </is>
      </c>
      <c r="B83" s="9" t="inlineStr"/>
      <c r="C83" s="9" t="inlineStr"/>
      <c r="D83" s="9" t="inlineStr"/>
      <c r="E83" s="9" t="inlineStr"/>
      <c r="F83" s="9" t="inlineStr"/>
    </row>
    <row r="84">
      <c r="A84" s="5" t="inlineStr">
        <is>
          <t>Competidores N2A (upgrade)</t>
        </is>
      </c>
      <c r="B84" s="6" t="n">
        <v>1</v>
      </c>
      <c r="C84" s="6" t="n">
        <v>1</v>
      </c>
      <c r="D84" s="6" t="n">
        <v>2</v>
      </c>
      <c r="E84" s="5" t="inlineStr">
        <is>
          <t>personas</t>
        </is>
      </c>
      <c r="F84" s="5" t="inlineStr">
        <is>
          <t>Ganaron nacional</t>
        </is>
      </c>
    </row>
    <row r="85">
      <c r="A85" s="5" t="inlineStr">
        <is>
          <t>Volumen/Competidor N2</t>
        </is>
      </c>
      <c r="B85" s="6" t="n">
        <v>50</v>
      </c>
      <c r="C85" s="6" t="n">
        <v>50</v>
      </c>
      <c r="D85" s="6" t="n">
        <v>50</v>
      </c>
      <c r="E85" s="5" t="inlineStr">
        <is>
          <t>kg</t>
        </is>
      </c>
      <c r="F85" s="5" t="inlineStr">
        <is>
          <t>Máximo</t>
        </is>
      </c>
    </row>
    <row r="86">
      <c r="A86" s="5" t="inlineStr">
        <is>
          <t>Descuento N2A</t>
        </is>
      </c>
      <c r="B86" s="6" t="inlineStr">
        <is>
          <t>100%</t>
        </is>
      </c>
      <c r="C86" s="6" t="inlineStr">
        <is>
          <t>100%</t>
        </is>
      </c>
      <c r="D86" s="6" t="inlineStr">
        <is>
          <t>100%</t>
        </is>
      </c>
      <c r="E86" s="5" t="inlineStr">
        <is>
          <t>%</t>
        </is>
      </c>
      <c r="F86" s="5" t="inlineStr">
        <is>
          <t>Gratuito</t>
        </is>
      </c>
    </row>
    <row r="87">
      <c r="A87" s="5" t="inlineStr"/>
      <c r="B87" s="5" t="inlineStr"/>
      <c r="C87" s="5" t="inlineStr"/>
      <c r="D87" s="5" t="inlineStr"/>
      <c r="E87" s="5" t="inlineStr"/>
      <c r="F87" s="5" t="inlineStr"/>
    </row>
    <row r="88">
      <c r="A88" s="9" t="inlineStr">
        <is>
          <t>--- NIVEL 2B: MUNDIAL NUEVO ---</t>
        </is>
      </c>
      <c r="B88" s="9" t="inlineStr"/>
      <c r="C88" s="9" t="inlineStr"/>
      <c r="D88" s="9" t="inlineStr"/>
      <c r="E88" s="9" t="inlineStr"/>
      <c r="F88" s="9" t="inlineStr"/>
    </row>
    <row r="89">
      <c r="A89" s="5" t="inlineStr">
        <is>
          <t>Competidores N2B (directo)</t>
        </is>
      </c>
      <c r="B89" s="6" t="n">
        <v>1</v>
      </c>
      <c r="C89" s="6" t="n">
        <v>1</v>
      </c>
      <c r="D89" s="6" t="n">
        <v>1</v>
      </c>
      <c r="E89" s="5" t="inlineStr">
        <is>
          <t>personas</t>
        </is>
      </c>
      <c r="F89" s="5" t="inlineStr">
        <is>
          <t>Nuevos</t>
        </is>
      </c>
    </row>
    <row r="90">
      <c r="A90" s="5" t="inlineStr">
        <is>
          <t>Descuento N2B</t>
        </is>
      </c>
      <c r="B90" s="6" t="inlineStr">
        <is>
          <t>70%</t>
        </is>
      </c>
      <c r="C90" s="6" t="inlineStr">
        <is>
          <t>70%</t>
        </is>
      </c>
      <c r="D90" s="6" t="inlineStr">
        <is>
          <t>70%</t>
        </is>
      </c>
      <c r="E90" s="5" t="inlineStr">
        <is>
          <t>%</t>
        </is>
      </c>
      <c r="F90" s="5" t="inlineStr">
        <is>
          <t>30% ingreso</t>
        </is>
      </c>
    </row>
    <row r="91">
      <c r="A91" s="5" t="inlineStr"/>
      <c r="B91" s="5" t="inlineStr"/>
      <c r="C91" s="5" t="inlineStr"/>
      <c r="D91" s="5" t="inlineStr"/>
      <c r="E91" s="5" t="inlineStr"/>
      <c r="F91" s="5" t="inlineStr"/>
    </row>
    <row r="92">
      <c r="A92" s="9" t="inlineStr">
        <is>
          <t>--- COSTOS OPERATIVOS ---</t>
        </is>
      </c>
      <c r="B92" s="9" t="inlineStr"/>
      <c r="C92" s="9" t="inlineStr"/>
      <c r="D92" s="9" t="inlineStr"/>
      <c r="E92" s="9" t="inlineStr"/>
      <c r="F92" s="9" t="inlineStr"/>
    </row>
    <row r="93">
      <c r="A93" s="5" t="inlineStr">
        <is>
          <t>Envío Internacional/competidor N2</t>
        </is>
      </c>
      <c r="B93" s="6" t="n">
        <v>400</v>
      </c>
      <c r="C93" s="6" t="n">
        <v>420</v>
      </c>
      <c r="D93" s="6" t="n">
        <v>450</v>
      </c>
      <c r="E93" s="5" t="inlineStr">
        <is>
          <t>USD</t>
        </is>
      </c>
      <c r="F93" s="5" t="inlineStr">
        <is>
          <t>Incluye seguro</t>
        </is>
      </c>
    </row>
    <row r="94">
      <c r="A94" s="5" t="inlineStr">
        <is>
          <t>Kit Bienvenida N1</t>
        </is>
      </c>
      <c r="B94" s="6" t="n">
        <v>50</v>
      </c>
      <c r="C94" s="6" t="n">
        <v>55</v>
      </c>
      <c r="D94" s="6" t="n">
        <v>60</v>
      </c>
      <c r="E94" s="5" t="inlineStr">
        <is>
          <t>USD</t>
        </is>
      </c>
      <c r="F94" s="5" t="inlineStr">
        <is>
          <t>Merchandising</t>
        </is>
      </c>
    </row>
    <row r="95">
      <c r="A95" s="5" t="inlineStr">
        <is>
          <t>Kit Premium N2</t>
        </is>
      </c>
      <c r="B95" s="6" t="n">
        <v>150</v>
      </c>
      <c r="C95" s="6" t="n">
        <v>160</v>
      </c>
      <c r="D95" s="6" t="n">
        <v>175</v>
      </c>
      <c r="E95" s="5" t="inlineStr">
        <is>
          <t>USD</t>
        </is>
      </c>
      <c r="F95" s="5" t="inlineStr">
        <is>
          <t>Premium</t>
        </is>
      </c>
    </row>
    <row r="96">
      <c r="A96" s="5" t="inlineStr">
        <is>
          <t>Soporte Técnico (horas/N2)</t>
        </is>
      </c>
      <c r="B96" s="6" t="n">
        <v>20</v>
      </c>
      <c r="C96" s="6" t="n">
        <v>22</v>
      </c>
      <c r="D96" s="6" t="n">
        <v>25</v>
      </c>
      <c r="E96" s="5" t="inlineStr">
        <is>
          <t>horas</t>
        </is>
      </c>
      <c r="F96" s="5" t="inlineStr">
        <is>
          <t>Q-Grader</t>
        </is>
      </c>
    </row>
    <row r="97">
      <c r="A97" s="5" t="inlineStr">
        <is>
          <t>Costo Hora Soporte</t>
        </is>
      </c>
      <c r="B97" s="6" t="n">
        <v>30</v>
      </c>
      <c r="C97" s="6" t="n">
        <v>32</v>
      </c>
      <c r="D97" s="6" t="n">
        <v>35</v>
      </c>
      <c r="E97" s="5" t="inlineStr">
        <is>
          <t>USD/hora</t>
        </is>
      </c>
      <c r="F97" s="5" t="inlineStr"/>
    </row>
    <row r="98">
      <c r="A98" s="5" t="inlineStr">
        <is>
          <t>Marketing y Contenido Anual</t>
        </is>
      </c>
      <c r="B98" s="6" t="n">
        <v>3000</v>
      </c>
      <c r="C98" s="6" t="n">
        <v>4000</v>
      </c>
      <c r="D98" s="6" t="n">
        <v>5000</v>
      </c>
      <c r="E98" s="5" t="inlineStr">
        <is>
          <t>USD</t>
        </is>
      </c>
      <c r="F98" s="5" t="inlineStr">
        <is>
          <t>Videos, PR</t>
        </is>
      </c>
    </row>
    <row r="99">
      <c r="A99" s="5" t="inlineStr">
        <is>
          <t>Eventos Post-Competencia</t>
        </is>
      </c>
      <c r="B99" s="6" t="n">
        <v>2000</v>
      </c>
      <c r="C99" s="6" t="n">
        <v>2500</v>
      </c>
      <c r="D99" s="6" t="n">
        <v>3000</v>
      </c>
      <c r="E99" s="5" t="inlineStr">
        <is>
          <t>USD</t>
        </is>
      </c>
      <c r="F99" s="5" t="inlineStr">
        <is>
          <t>Viáticos</t>
        </is>
      </c>
    </row>
    <row r="101">
      <c r="A101" s="3" t="inlineStr">
        <is>
          <t>IX. OTRAS LÍNEAS DE INGRESO (USD/año)</t>
        </is>
      </c>
    </row>
    <row r="102">
      <c r="A102" s="4" t="inlineStr">
        <is>
          <t>Línea</t>
        </is>
      </c>
      <c r="B102" s="4" t="inlineStr">
        <is>
          <t>Año 1</t>
        </is>
      </c>
      <c r="C102" s="4" t="inlineStr">
        <is>
          <t>Año 2</t>
        </is>
      </c>
      <c r="D102" s="4" t="inlineStr">
        <is>
          <t>Año 3</t>
        </is>
      </c>
      <c r="E102" s="4" t="inlineStr">
        <is>
          <t>Unidad</t>
        </is>
      </c>
      <c r="F102" s="4" t="inlineStr">
        <is>
          <t>Notas</t>
        </is>
      </c>
    </row>
    <row r="103">
      <c r="A103" s="5" t="inlineStr">
        <is>
          <t>Turismo (Coffee Adventure Hotel)</t>
        </is>
      </c>
      <c r="B103" s="6" t="n">
        <v>25000</v>
      </c>
      <c r="C103" s="6" t="n">
        <v>35000</v>
      </c>
      <c r="D103" s="6" t="n">
        <v>50000</v>
      </c>
      <c r="E103" s="5" t="inlineStr">
        <is>
          <t>USD/año</t>
        </is>
      </c>
      <c r="F103" s="5" t="inlineStr">
        <is>
          <t>Ocupación creciente</t>
        </is>
      </c>
    </row>
    <row r="104">
      <c r="A104" s="5" t="inlineStr">
        <is>
          <t>Educación (Q Processing L2)</t>
        </is>
      </c>
      <c r="B104" s="6" t="n">
        <v>15000</v>
      </c>
      <c r="C104" s="6" t="n">
        <v>20000</v>
      </c>
      <c r="D104" s="6" t="n">
        <v>25000</v>
      </c>
      <c r="E104" s="5" t="inlineStr">
        <is>
          <t>USD/año</t>
        </is>
      </c>
      <c r="F104" s="5" t="inlineStr">
        <is>
          <t>$2,540/alumno</t>
        </is>
      </c>
    </row>
    <row r="105">
      <c r="A105" s="5" t="inlineStr">
        <is>
          <t>Consultoría/Asesorías</t>
        </is>
      </c>
      <c r="B105" s="6" t="n">
        <v>5000</v>
      </c>
      <c r="C105" s="6" t="n">
        <v>8000</v>
      </c>
      <c r="D105" s="6" t="n">
        <v>12000</v>
      </c>
      <c r="E105" s="5" t="inlineStr">
        <is>
          <t>USD/año</t>
        </is>
      </c>
      <c r="F105" s="5" t="inlineStr">
        <is>
          <t>Nuevos clientes</t>
        </is>
      </c>
    </row>
    <row r="106">
      <c r="A106" s="8" t="inlineStr">
        <is>
          <t>Total Otros Ingresos</t>
        </is>
      </c>
      <c r="B106" s="8">
        <f>SUM(B101:B103)</f>
        <v/>
      </c>
      <c r="C106" s="8">
        <f>SUM(C101:C103)</f>
        <v/>
      </c>
      <c r="D106" s="8">
        <f>SUM(D101:D103)</f>
        <v/>
      </c>
      <c r="E106" s="8" t="inlineStr">
        <is>
          <t>USD/año</t>
        </is>
      </c>
      <c r="F106" s="8" t="inlineStr"/>
    </row>
  </sheetData>
  <mergeCells count="11">
    <mergeCell ref="A24:F24"/>
    <mergeCell ref="A2:F2"/>
    <mergeCell ref="A11:F11"/>
    <mergeCell ref="A54:F54"/>
    <mergeCell ref="A76:F76"/>
    <mergeCell ref="A1:F1"/>
    <mergeCell ref="A34:F34"/>
    <mergeCell ref="A4:F4"/>
    <mergeCell ref="A101:F101"/>
    <mergeCell ref="A64:F64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5" customWidth="1" min="8" max="8"/>
  </cols>
  <sheetData>
    <row r="1">
      <c r="A1" s="1" t="inlineStr">
        <is>
          <t>PROYECCIÓN DE INGRESOS - 3 AÑOS</t>
        </is>
      </c>
    </row>
    <row r="2">
      <c r="A2" s="2" t="inlineStr">
        <is>
          <t>Vinculado a Parámetros | Consolida en P&amp;G</t>
        </is>
      </c>
    </row>
    <row r="4">
      <c r="A4" s="10" t="inlineStr">
        <is>
          <t>A. VOLÚMENES DE VENTA POR SERIE (lbs)</t>
        </is>
      </c>
    </row>
    <row r="5">
      <c r="A5" s="4" t="inlineStr">
        <is>
          <t>Serie</t>
        </is>
      </c>
      <c r="B5" s="4" t="inlineStr">
        <is>
          <t>Año 1</t>
        </is>
      </c>
      <c r="C5" s="4" t="inlineStr">
        <is>
          <t>Año 2</t>
        </is>
      </c>
      <c r="D5" s="4" t="inlineStr">
        <is>
          <t>Año 3</t>
        </is>
      </c>
      <c r="E5" s="4" t="inlineStr">
        <is>
          <t>Total 3 Años</t>
        </is>
      </c>
      <c r="F5" s="4" t="inlineStr">
        <is>
          <t>% Año 1</t>
        </is>
      </c>
      <c r="G5" s="4" t="inlineStr">
        <is>
          <t>Precio $/lb</t>
        </is>
      </c>
      <c r="H5" s="4" t="inlineStr">
        <is>
          <t>Referencia</t>
        </is>
      </c>
    </row>
    <row r="6">
      <c r="A6" s="5" t="inlineStr">
        <is>
          <t>Producción Propia Total (lbs)</t>
        </is>
      </c>
      <c r="B6" s="7">
        <f>'1. Parámetros'!B13*'1. Parámetros'!B18</f>
        <v/>
      </c>
      <c r="C6" s="7">
        <f>'1. Parámetros'!C13*'1. Parámetros'!C18</f>
        <v/>
      </c>
      <c r="D6" s="7">
        <f>'1. Parámetros'!D13*'1. Parámetros'!D18</f>
        <v/>
      </c>
      <c r="E6" s="7">
        <f>SUM(B6:D6)</f>
        <v/>
      </c>
      <c r="F6" s="5" t="inlineStr">
        <is>
          <t>100%</t>
        </is>
      </c>
      <c r="G6" s="5" t="inlineStr"/>
      <c r="H6" s="5" t="inlineStr">
        <is>
          <t>Calculado</t>
        </is>
      </c>
    </row>
    <row r="7">
      <c r="A7" s="5" t="inlineStr">
        <is>
          <t>Aurora Series (5%→7%)</t>
        </is>
      </c>
      <c r="B7" s="7">
        <f>B6*0.05</f>
        <v/>
      </c>
      <c r="C7" s="7">
        <f>C6*0.06</f>
        <v/>
      </c>
      <c r="D7" s="7">
        <f>D6*0.07</f>
        <v/>
      </c>
      <c r="E7" s="7">
        <f>SUM(B7:D7)</f>
        <v/>
      </c>
      <c r="F7" s="5" t="inlineStr">
        <is>
          <t>5%</t>
        </is>
      </c>
      <c r="G7" s="5">
        <f>'1. Parámetros'!B37</f>
        <v/>
      </c>
      <c r="H7" s="5" t="inlineStr">
        <is>
          <t>Nanolotes</t>
        </is>
      </c>
    </row>
    <row r="8">
      <c r="A8" s="5" t="inlineStr">
        <is>
          <t>Alma Series (25%→28%)</t>
        </is>
      </c>
      <c r="B8" s="7">
        <f>B6*0.25</f>
        <v/>
      </c>
      <c r="C8" s="7">
        <f>C6*0.27</f>
        <v/>
      </c>
      <c r="D8" s="7">
        <f>D6*0.28</f>
        <v/>
      </c>
      <c r="E8" s="7">
        <f>SUM(B8:D8)</f>
        <v/>
      </c>
      <c r="F8" s="5" t="inlineStr">
        <is>
          <t>25%</t>
        </is>
      </c>
      <c r="G8" s="5">
        <f>'1. Parámetros'!B38</f>
        <v/>
      </c>
      <c r="H8" s="5" t="inlineStr">
        <is>
          <t>Microlotes</t>
        </is>
      </c>
    </row>
    <row r="9">
      <c r="A9" s="5" t="inlineStr">
        <is>
          <t>Landscape Series (40%→35%)</t>
        </is>
      </c>
      <c r="B9" s="7">
        <f>B6*0.40</f>
        <v/>
      </c>
      <c r="C9" s="7">
        <f>C6*0.38</f>
        <v/>
      </c>
      <c r="D9" s="7">
        <f>D6*0.35</f>
        <v/>
      </c>
      <c r="E9" s="7">
        <f>SUM(B9:D9)</f>
        <v/>
      </c>
      <c r="F9" s="5" t="inlineStr">
        <is>
          <t>40%</t>
        </is>
      </c>
      <c r="G9" s="5">
        <f>'1. Parámetros'!B39</f>
        <v/>
      </c>
      <c r="H9" s="5" t="inlineStr">
        <is>
          <t>Representativos</t>
        </is>
      </c>
    </row>
    <row r="10">
      <c r="A10" s="5" t="inlineStr">
        <is>
          <t>CraftLab Custom (10%→15%)</t>
        </is>
      </c>
      <c r="B10" s="7">
        <f>B6*0.10</f>
        <v/>
      </c>
      <c r="C10" s="7">
        <f>C6*0.12</f>
        <v/>
      </c>
      <c r="D10" s="7">
        <f>D6*0.15</f>
        <v/>
      </c>
      <c r="E10" s="7">
        <f>SUM(B10:D10)</f>
        <v/>
      </c>
      <c r="F10" s="5" t="inlineStr">
        <is>
          <t>10%</t>
        </is>
      </c>
      <c r="G10" s="5">
        <f>'1. Parámetros'!B40</f>
        <v/>
      </c>
      <c r="H10" s="5" t="inlineStr">
        <is>
          <t>Co-creados</t>
        </is>
      </c>
    </row>
    <row r="11">
      <c r="A11" s="5" t="inlineStr">
        <is>
          <t>Beat Series (Subsidiado)</t>
        </is>
      </c>
      <c r="B11" s="7">
        <f>B6*0.10</f>
        <v/>
      </c>
      <c r="C11" s="7">
        <f>C6*0.10</f>
        <v/>
      </c>
      <c r="D11" s="7">
        <f>D6*0.10</f>
        <v/>
      </c>
      <c r="E11" s="7">
        <f>SUM(B11:D11)</f>
        <v/>
      </c>
      <c r="F11" s="5" t="inlineStr">
        <is>
          <t>10%</t>
        </is>
      </c>
      <c r="G11" s="5" t="inlineStr">
        <is>
          <t>Variable</t>
        </is>
      </c>
      <c r="H11" s="5" t="inlineStr">
        <is>
          <t>Patrocinios</t>
        </is>
      </c>
    </row>
    <row r="12">
      <c r="A12" s="5" t="inlineStr">
        <is>
          <t>Merma/Inferior</t>
        </is>
      </c>
      <c r="B12" s="7">
        <f>B6*0.10</f>
        <v/>
      </c>
      <c r="C12" s="7">
        <f>C6*0.07</f>
        <v/>
      </c>
      <c r="D12" s="7">
        <f>D6*0.05</f>
        <v/>
      </c>
      <c r="E12" s="7">
        <f>SUM(B12:D12)</f>
        <v/>
      </c>
      <c r="F12" s="5" t="inlineStr">
        <is>
          <t>10%</t>
        </is>
      </c>
      <c r="G12" s="5" t="inlineStr"/>
      <c r="H12" s="5" t="inlineStr">
        <is>
          <t>Pérdida</t>
        </is>
      </c>
    </row>
    <row r="13">
      <c r="A13" s="5" t="inlineStr"/>
      <c r="B13" s="7" t="inlineStr"/>
      <c r="C13" s="7" t="inlineStr"/>
      <c r="D13" s="7" t="inlineStr"/>
      <c r="E13" s="7" t="inlineStr"/>
      <c r="F13" s="5" t="inlineStr"/>
      <c r="G13" s="5" t="inlineStr"/>
      <c r="H13" s="5" t="inlineStr"/>
    </row>
    <row r="14">
      <c r="A14" s="5" t="inlineStr">
        <is>
          <t>Volumen N&amp;C (lbs)</t>
        </is>
      </c>
      <c r="B14" s="7">
        <f>'1. Parámetros'!B16*'1. Parámetros'!B18</f>
        <v/>
      </c>
      <c r="C14" s="7">
        <f>'1. Parámetros'!C16*'1. Parámetros'!C18</f>
        <v/>
      </c>
      <c r="D14" s="7">
        <f>'1. Parámetros'!D16*'1. Parámetros'!D18</f>
        <v/>
      </c>
      <c r="E14" s="7">
        <f>SUM(B14:D14)</f>
        <v/>
      </c>
      <c r="F14" s="5" t="inlineStr">
        <is>
          <t>100%</t>
        </is>
      </c>
      <c r="G14" s="5">
        <f>'1. Parámetros'!B41</f>
        <v/>
      </c>
      <c r="H14" s="5" t="inlineStr">
        <is>
          <t>Symbiosis</t>
        </is>
      </c>
    </row>
    <row r="16">
      <c r="A16" s="10" t="inlineStr">
        <is>
          <t>B. INGRESOS POR SERIE (USD)</t>
        </is>
      </c>
    </row>
    <row r="17">
      <c r="A17" s="4" t="inlineStr">
        <is>
          <t>Serie</t>
        </is>
      </c>
      <c r="B17" s="4" t="inlineStr">
        <is>
          <t>Año 1</t>
        </is>
      </c>
      <c r="C17" s="4" t="inlineStr">
        <is>
          <t>Año 2</t>
        </is>
      </c>
      <c r="D17" s="4" t="inlineStr">
        <is>
          <t>Año 3</t>
        </is>
      </c>
      <c r="E17" s="4" t="inlineStr">
        <is>
          <t>Total 3 Años</t>
        </is>
      </c>
      <c r="F17" s="4" t="inlineStr">
        <is>
          <t>% Año 1</t>
        </is>
      </c>
      <c r="G17" s="4" t="inlineStr">
        <is>
          <t>Margen Est.</t>
        </is>
      </c>
      <c r="H17" s="4" t="inlineStr">
        <is>
          <t>Notas</t>
        </is>
      </c>
    </row>
    <row r="18">
      <c r="A18" s="5" t="inlineStr">
        <is>
          <t>Aurora Series</t>
        </is>
      </c>
      <c r="B18" s="7">
        <f>B7*G7</f>
        <v/>
      </c>
      <c r="C18" s="7">
        <f>C7*G7</f>
        <v/>
      </c>
      <c r="D18" s="7">
        <f>D7*G7</f>
        <v/>
      </c>
      <c r="E18" s="7">
        <f>SUM(B18:D18)</f>
        <v/>
      </c>
      <c r="F18" s="5" t="inlineStr"/>
      <c r="G18" s="5" t="inlineStr">
        <is>
          <t>65%</t>
        </is>
      </c>
      <c r="H18" s="5" t="inlineStr">
        <is>
          <t>$85-95/lb</t>
        </is>
      </c>
    </row>
    <row r="19">
      <c r="A19" s="5" t="inlineStr">
        <is>
          <t>Alma Series</t>
        </is>
      </c>
      <c r="B19" s="7">
        <f>B8*G8</f>
        <v/>
      </c>
      <c r="C19" s="7">
        <f>C8*G8</f>
        <v/>
      </c>
      <c r="D19" s="7">
        <f>D8*G8</f>
        <v/>
      </c>
      <c r="E19" s="7">
        <f>SUM(B19:D19)</f>
        <v/>
      </c>
      <c r="F19" s="5" t="inlineStr"/>
      <c r="G19" s="5" t="inlineStr">
        <is>
          <t>60%</t>
        </is>
      </c>
      <c r="H19" s="5" t="inlineStr">
        <is>
          <t>$55-60/lb</t>
        </is>
      </c>
    </row>
    <row r="20">
      <c r="A20" s="5" t="inlineStr">
        <is>
          <t>Landscape Series</t>
        </is>
      </c>
      <c r="B20" s="7">
        <f>B9*G9</f>
        <v/>
      </c>
      <c r="C20" s="7">
        <f>C9*G9</f>
        <v/>
      </c>
      <c r="D20" s="7">
        <f>D9*G9</f>
        <v/>
      </c>
      <c r="E20" s="7">
        <f>SUM(B20:D20)</f>
        <v/>
      </c>
      <c r="F20" s="5" t="inlineStr"/>
      <c r="G20" s="5" t="inlineStr">
        <is>
          <t>55%</t>
        </is>
      </c>
      <c r="H20" s="5" t="inlineStr">
        <is>
          <t>$45-48/lb</t>
        </is>
      </c>
    </row>
    <row r="21">
      <c r="A21" s="5" t="inlineStr">
        <is>
          <t>CraftLab Custom</t>
        </is>
      </c>
      <c r="B21" s="7">
        <f>B10*G10</f>
        <v/>
      </c>
      <c r="C21" s="7">
        <f>C10*G10</f>
        <v/>
      </c>
      <c r="D21" s="7">
        <f>D10*G10</f>
        <v/>
      </c>
      <c r="E21" s="7">
        <f>SUM(B21:D21)</f>
        <v/>
      </c>
      <c r="F21" s="5" t="inlineStr"/>
      <c r="G21" s="5" t="inlineStr">
        <is>
          <t>70%</t>
        </is>
      </c>
      <c r="H21" s="5" t="inlineStr">
        <is>
          <t>$75-85/lb</t>
        </is>
      </c>
    </row>
    <row r="22">
      <c r="A22" s="5" t="inlineStr">
        <is>
          <t>Beat Series (Neto)</t>
        </is>
      </c>
      <c r="B22" s="7">
        <f>B11*45*0.5</f>
        <v/>
      </c>
      <c r="C22" s="7">
        <f>C11*46*0.5</f>
        <v/>
      </c>
      <c r="D22" s="7">
        <f>D11*48*0.5</f>
        <v/>
      </c>
      <c r="E22" s="7">
        <f>SUM(B22:D22)</f>
        <v/>
      </c>
      <c r="F22" s="5" t="inlineStr"/>
      <c r="G22" s="5" t="inlineStr">
        <is>
          <t>0%</t>
        </is>
      </c>
      <c r="H22" s="5" t="inlineStr">
        <is>
          <t>50% promedio</t>
        </is>
      </c>
    </row>
    <row r="23">
      <c r="A23" s="8" t="inlineStr">
        <is>
          <t>Subtotal Finca</t>
        </is>
      </c>
      <c r="B23" s="8">
        <f>SUM(B18:B22)</f>
        <v/>
      </c>
      <c r="C23" s="8">
        <f>SUM(C18:C22)</f>
        <v/>
      </c>
      <c r="D23" s="8">
        <f>SUM(D18:D22)</f>
        <v/>
      </c>
      <c r="E23" s="8">
        <f>SUM(B23:D23)</f>
        <v/>
      </c>
      <c r="F23" s="8" t="inlineStr"/>
      <c r="G23" s="8" t="inlineStr"/>
      <c r="H23" s="8" t="inlineStr"/>
    </row>
    <row r="24">
      <c r="A24" s="5" t="inlineStr"/>
      <c r="B24" s="7" t="inlineStr"/>
      <c r="C24" s="7" t="inlineStr"/>
      <c r="D24" s="7" t="inlineStr"/>
      <c r="E24" s="7" t="inlineStr"/>
      <c r="F24" s="5" t="inlineStr"/>
      <c r="G24" s="5" t="inlineStr"/>
      <c r="H24" s="5" t="inlineStr"/>
    </row>
    <row r="25">
      <c r="A25" s="5" t="inlineStr">
        <is>
          <t>N&amp;C / Symbiosis</t>
        </is>
      </c>
      <c r="B25" s="7">
        <f>B14*G14</f>
        <v/>
      </c>
      <c r="C25" s="7">
        <f>C14*G14</f>
        <v/>
      </c>
      <c r="D25" s="7">
        <f>D14*G14</f>
        <v/>
      </c>
      <c r="E25" s="7">
        <f>SUM(B25:D25)</f>
        <v/>
      </c>
      <c r="F25" s="5" t="inlineStr"/>
      <c r="G25" s="5" t="inlineStr">
        <is>
          <t>35%</t>
        </is>
      </c>
      <c r="H25" s="5" t="inlineStr">
        <is>
          <t>$28-32/lb</t>
        </is>
      </c>
    </row>
    <row r="26">
      <c r="A26" s="5" t="inlineStr"/>
      <c r="B26" s="7" t="inlineStr"/>
      <c r="C26" s="7" t="inlineStr"/>
      <c r="D26" s="7" t="inlineStr"/>
      <c r="E26" s="7" t="inlineStr"/>
      <c r="F26" s="5" t="inlineStr"/>
      <c r="G26" s="5" t="inlineStr"/>
      <c r="H26" s="5" t="inlineStr"/>
    </row>
    <row r="27">
      <c r="A27" s="5" t="inlineStr">
        <is>
          <t>Turismo</t>
        </is>
      </c>
      <c r="B27" s="7">
        <f>'1. Parámetros'!B101</f>
        <v/>
      </c>
      <c r="C27" s="7">
        <f>'1. Parámetros'!C101</f>
        <v/>
      </c>
      <c r="D27" s="7">
        <f>'1. Parámetros'!D101</f>
        <v/>
      </c>
      <c r="E27" s="7">
        <f>SUM(B27:D27)</f>
        <v/>
      </c>
      <c r="F27" s="5" t="inlineStr"/>
      <c r="G27" s="5" t="inlineStr">
        <is>
          <t>80%</t>
        </is>
      </c>
      <c r="H27" s="5" t="inlineStr">
        <is>
          <t>Hotel+Tours</t>
        </is>
      </c>
    </row>
    <row r="28">
      <c r="A28" s="5" t="inlineStr">
        <is>
          <t>Educación</t>
        </is>
      </c>
      <c r="B28" s="7">
        <f>'1. Parámetros'!B102</f>
        <v/>
      </c>
      <c r="C28" s="7">
        <f>'1. Parámetros'!C102</f>
        <v/>
      </c>
      <c r="D28" s="7">
        <f>'1. Parámetros'!D102</f>
        <v/>
      </c>
      <c r="E28" s="7">
        <f>SUM(B28:D28)</f>
        <v/>
      </c>
      <c r="F28" s="5" t="inlineStr"/>
      <c r="G28" s="5" t="inlineStr">
        <is>
          <t>75%</t>
        </is>
      </c>
      <c r="H28" s="5" t="inlineStr">
        <is>
          <t>Q Processing</t>
        </is>
      </c>
    </row>
    <row r="29">
      <c r="A29" s="5" t="inlineStr">
        <is>
          <t>Consultoría</t>
        </is>
      </c>
      <c r="B29" s="7">
        <f>'1. Parámetros'!B103</f>
        <v/>
      </c>
      <c r="C29" s="7">
        <f>'1. Parámetros'!C103</f>
        <v/>
      </c>
      <c r="D29" s="7">
        <f>'1. Parámetros'!D103</f>
        <v/>
      </c>
      <c r="E29" s="7">
        <f>SUM(B29:D29)</f>
        <v/>
      </c>
      <c r="F29" s="5" t="inlineStr"/>
      <c r="G29" s="5" t="inlineStr">
        <is>
          <t>90%</t>
        </is>
      </c>
      <c r="H29" s="5" t="inlineStr">
        <is>
          <t>Asesorías</t>
        </is>
      </c>
    </row>
    <row r="30">
      <c r="A30" s="8" t="inlineStr">
        <is>
          <t>Subtotal Otros</t>
        </is>
      </c>
      <c r="B30" s="8">
        <f>SUM(B27:B29)</f>
        <v/>
      </c>
      <c r="C30" s="8">
        <f>SUM(C27:C29)</f>
        <v/>
      </c>
      <c r="D30" s="8">
        <f>SUM(D27:D29)</f>
        <v/>
      </c>
      <c r="E30" s="8">
        <f>SUM(B30:D30)</f>
        <v/>
      </c>
      <c r="F30" s="8" t="inlineStr"/>
      <c r="G30" s="8" t="inlineStr"/>
      <c r="H30" s="8" t="inlineStr"/>
    </row>
    <row r="31">
      <c r="A31" s="5" t="inlineStr"/>
      <c r="B31" s="7" t="inlineStr"/>
      <c r="C31" s="7" t="inlineStr"/>
      <c r="D31" s="7" t="inlineStr"/>
      <c r="E31" s="7" t="inlineStr"/>
      <c r="F31" s="5" t="inlineStr"/>
      <c r="G31" s="5" t="inlineStr"/>
      <c r="H31" s="5" t="inlineStr"/>
    </row>
    <row r="32">
      <c r="A32" s="8" t="inlineStr">
        <is>
          <t>TOTAL INGRESOS</t>
        </is>
      </c>
      <c r="B32" s="8">
        <f>B23+B25+B30</f>
        <v/>
      </c>
      <c r="C32" s="8">
        <f>C23+C25+C30</f>
        <v/>
      </c>
      <c r="D32" s="8">
        <f>D23+D25+D30</f>
        <v/>
      </c>
      <c r="E32" s="8">
        <f>SUM(B32:D32)</f>
        <v/>
      </c>
      <c r="F32" s="8" t="inlineStr">
        <is>
          <t>100%</t>
        </is>
      </c>
      <c r="G32" s="8" t="inlineStr"/>
      <c r="H32" s="8" t="inlineStr"/>
    </row>
    <row r="34">
      <c r="A34" s="10" t="inlineStr">
        <is>
          <t>C. KPIs DE INGRESOS</t>
        </is>
      </c>
    </row>
    <row r="35">
      <c r="A35" s="4" t="inlineStr">
        <is>
          <t>Indicador</t>
        </is>
      </c>
      <c r="B35" s="4" t="inlineStr">
        <is>
          <t>Año 1</t>
        </is>
      </c>
      <c r="C35" s="4" t="inlineStr">
        <is>
          <t>Año 2</t>
        </is>
      </c>
      <c r="D35" s="4" t="inlineStr">
        <is>
          <t>Año 3</t>
        </is>
      </c>
      <c r="E35" s="4" t="inlineStr">
        <is>
          <t>Objetivo</t>
        </is>
      </c>
      <c r="F35" s="4" t="inlineStr">
        <is>
          <t>Status</t>
        </is>
      </c>
      <c r="G35" s="4" t="inlineStr"/>
      <c r="H35" s="4" t="inlineStr"/>
    </row>
    <row r="36">
      <c r="A36" s="5" t="inlineStr">
        <is>
          <t>Volumen Total Vendido (lbs)</t>
        </is>
      </c>
      <c r="B36" s="7">
        <f>B7+B8+B9+B10+B11+B14</f>
        <v/>
      </c>
      <c r="C36" s="7">
        <f>C7+C8+C9+C10+C11+C14</f>
        <v/>
      </c>
      <c r="D36" s="7">
        <f>D7+D8+D9+D10+D11+D14</f>
        <v/>
      </c>
      <c r="E36" s="5" t="inlineStr">
        <is>
          <t>Creciente</t>
        </is>
      </c>
      <c r="F36" s="5" t="inlineStr"/>
      <c r="G36" s="5" t="inlineStr"/>
      <c r="H36" s="5" t="inlineStr"/>
    </row>
    <row r="37">
      <c r="A37" s="5" t="inlineStr">
        <is>
          <t>Precio Promedio Finca ($/lb)</t>
        </is>
      </c>
      <c r="B37" s="7">
        <f>B23/(B7+B8+B9+B10+B11)</f>
        <v/>
      </c>
      <c r="C37" s="7">
        <f>C23/(C7+C8+C9+C10+C11)</f>
        <v/>
      </c>
      <c r="D37" s="7">
        <f>D23/(D7+D8+D9+D10+D11)</f>
        <v/>
      </c>
      <c r="E37" s="5" t="inlineStr">
        <is>
          <t>≥$42</t>
        </is>
      </c>
      <c r="F37" s="5" t="inlineStr"/>
      <c r="G37" s="5" t="inlineStr"/>
      <c r="H37" s="5" t="inlineStr"/>
    </row>
    <row r="38">
      <c r="A38" s="5" t="inlineStr">
        <is>
          <t>Precio Promedio Total ($/lb)</t>
        </is>
      </c>
      <c r="B38" s="7">
        <f>(B23+B25)/B35</f>
        <v/>
      </c>
      <c r="C38" s="7">
        <f>(C23+C25)/C35</f>
        <v/>
      </c>
      <c r="D38" s="7">
        <f>(D23+D25)/D35</f>
        <v/>
      </c>
      <c r="E38" s="5" t="inlineStr">
        <is>
          <t>≥$35</t>
        </is>
      </c>
      <c r="F38" s="5" t="inlineStr"/>
      <c r="G38" s="5" t="inlineStr"/>
      <c r="H38" s="5" t="inlineStr"/>
    </row>
    <row r="39">
      <c r="A39" s="5" t="inlineStr">
        <is>
          <t>% Ingresos Finca vs Total</t>
        </is>
      </c>
      <c r="B39" s="7">
        <f>B23/B32*100</f>
        <v/>
      </c>
      <c r="C39" s="7">
        <f>C23/C32*100</f>
        <v/>
      </c>
      <c r="D39" s="7">
        <f>D23/D32*100</f>
        <v/>
      </c>
      <c r="E39" s="5" t="inlineStr">
        <is>
          <t>&gt;70%</t>
        </is>
      </c>
      <c r="F39" s="5" t="inlineStr"/>
      <c r="G39" s="5" t="inlineStr"/>
      <c r="H39" s="5" t="inlineStr"/>
    </row>
    <row r="40">
      <c r="A40" s="5" t="inlineStr">
        <is>
          <t>Crecimiento YoY (%)</t>
        </is>
      </c>
      <c r="B40" s="7" t="inlineStr">
        <is>
          <t>-</t>
        </is>
      </c>
      <c r="C40" s="7">
        <f>(C32-B32)/B32*100</f>
        <v/>
      </c>
      <c r="D40" s="7">
        <f>(D32-C32)/C32*100</f>
        <v/>
      </c>
      <c r="E40" s="5" t="inlineStr">
        <is>
          <t>&gt;10%</t>
        </is>
      </c>
      <c r="F40" s="5" t="inlineStr"/>
      <c r="G40" s="5" t="inlineStr"/>
      <c r="H40" s="5" t="inlineStr"/>
    </row>
  </sheetData>
  <mergeCells count="5">
    <mergeCell ref="A4:H4"/>
    <mergeCell ref="A16:H16"/>
    <mergeCell ref="A2:H2"/>
    <mergeCell ref="A1:H1"/>
    <mergeCell ref="A34:H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</cols>
  <sheetData>
    <row r="1">
      <c r="A1" s="1" t="inlineStr">
        <is>
          <t>PROYECCIÓN DE COSTOS - 3 AÑOS</t>
        </is>
      </c>
    </row>
    <row r="2">
      <c r="A2" s="2" t="inlineStr">
        <is>
          <t>Vinculado a Parámetros | Consolida en P&amp;G</t>
        </is>
      </c>
    </row>
    <row r="4">
      <c r="A4" s="10" t="inlineStr">
        <is>
          <t>A. COSTOS VARIABLES DE PRODUCCIÓN (USD)</t>
        </is>
      </c>
    </row>
    <row r="5">
      <c r="A5" s="4" t="inlineStr">
        <is>
          <t>Concepto</t>
        </is>
      </c>
      <c r="B5" s="4" t="inlineStr">
        <is>
          <t>Año 1</t>
        </is>
      </c>
      <c r="C5" s="4" t="inlineStr">
        <is>
          <t>Año 2</t>
        </is>
      </c>
      <c r="D5" s="4" t="inlineStr">
        <is>
          <t>Año 3</t>
        </is>
      </c>
      <c r="E5" s="4" t="inlineStr">
        <is>
          <t>Total 3 Años</t>
        </is>
      </c>
      <c r="F5" s="4" t="inlineStr">
        <is>
          <t>$/lb</t>
        </is>
      </c>
      <c r="G5" s="4" t="inlineStr">
        <is>
          <t>Base</t>
        </is>
      </c>
      <c r="H5" s="4" t="inlineStr">
        <is>
          <t>Notas</t>
        </is>
      </c>
    </row>
    <row r="6">
      <c r="A6" s="11" t="inlineStr">
        <is>
          <t>COSTOS FINCA (Producción Propia)</t>
        </is>
      </c>
      <c r="B6" s="11" t="inlineStr"/>
      <c r="C6" s="11" t="inlineStr"/>
      <c r="D6" s="11" t="inlineStr"/>
      <c r="E6" s="11" t="inlineStr"/>
      <c r="F6" s="11" t="inlineStr"/>
      <c r="G6" s="11" t="inlineStr"/>
      <c r="H6" s="11" t="inlineStr"/>
    </row>
    <row r="7">
      <c r="A7" s="5" t="inlineStr">
        <is>
          <t>Volumen Finca (lbs)</t>
        </is>
      </c>
      <c r="B7" s="7">
        <f>'2. Ingresos'!B6</f>
        <v/>
      </c>
      <c r="C7" s="7">
        <f>'2. Ingresos'!C6</f>
        <v/>
      </c>
      <c r="D7" s="7">
        <f>'2. Ingresos'!D6</f>
        <v/>
      </c>
      <c r="E7" s="7">
        <f>SUM(B7:D7)</f>
        <v/>
      </c>
      <c r="F7" s="5" t="inlineStr"/>
      <c r="G7" s="5" t="inlineStr"/>
      <c r="H7" s="5" t="inlineStr">
        <is>
          <t>Ref. Ingresos</t>
        </is>
      </c>
    </row>
    <row r="8">
      <c r="A8" s="5" t="inlineStr">
        <is>
          <t>Costo Producción/lb</t>
        </is>
      </c>
      <c r="B8" s="7">
        <f>'1. Parámetros'!B64</f>
        <v/>
      </c>
      <c r="C8" s="7">
        <f>'1. Parámetros'!C64</f>
        <v/>
      </c>
      <c r="D8" s="7">
        <f>'1. Parámetros'!D64</f>
        <v/>
      </c>
      <c r="E8" s="5" t="inlineStr"/>
      <c r="F8" s="5" t="inlineStr"/>
      <c r="G8" s="5" t="inlineStr"/>
      <c r="H8" s="5" t="inlineStr">
        <is>
          <t>Ref. Parámetros</t>
        </is>
      </c>
    </row>
    <row r="9">
      <c r="A9" s="5" t="inlineStr">
        <is>
          <t>Costo Total Finca</t>
        </is>
      </c>
      <c r="B9" s="7">
        <f>B7*B8</f>
        <v/>
      </c>
      <c r="C9" s="7">
        <f>C7*C8</f>
        <v/>
      </c>
      <c r="D9" s="7">
        <f>D7*D8</f>
        <v/>
      </c>
      <c r="E9" s="7">
        <f>SUM(B9:D9)</f>
        <v/>
      </c>
      <c r="F9" s="5" t="inlineStr"/>
      <c r="G9" s="5" t="inlineStr"/>
      <c r="H9" s="5" t="inlineStr"/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</row>
    <row r="11">
      <c r="A11" s="11" t="inlineStr">
        <is>
          <t>COSTOS N&amp;C (Compra + Proceso)</t>
        </is>
      </c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</row>
    <row r="12">
      <c r="A12" s="5" t="inlineStr">
        <is>
          <t>Volumen N&amp;C (lbs)</t>
        </is>
      </c>
      <c r="B12" s="7">
        <f>'2. Ingresos'!B14</f>
        <v/>
      </c>
      <c r="C12" s="7">
        <f>'2. Ingresos'!C14</f>
        <v/>
      </c>
      <c r="D12" s="7">
        <f>'2. Ingresos'!D14</f>
        <v/>
      </c>
      <c r="E12" s="7">
        <f>SUM(B12:D12)</f>
        <v/>
      </c>
      <c r="F12" s="5" t="inlineStr"/>
      <c r="G12" s="5" t="inlineStr"/>
      <c r="H12" s="5" t="inlineStr"/>
    </row>
    <row r="13">
      <c r="A13" s="5" t="inlineStr">
        <is>
          <t>Costo Compra N&amp;C/lb</t>
        </is>
      </c>
      <c r="B13" s="7">
        <f>'1. Parámetros'!B54</f>
        <v/>
      </c>
      <c r="C13" s="7">
        <f>'1. Parámetros'!C54</f>
        <v/>
      </c>
      <c r="D13" s="7">
        <f>'1. Parámetros'!D54</f>
        <v/>
      </c>
      <c r="E13" s="5" t="inlineStr"/>
      <c r="F13" s="5" t="inlineStr"/>
      <c r="G13" s="5" t="inlineStr"/>
      <c r="H13" s="5" t="inlineStr">
        <is>
          <t>COP→USD</t>
        </is>
      </c>
    </row>
    <row r="14">
      <c r="A14" s="5" t="inlineStr">
        <is>
          <t>Costo Proceso Adicional/lb</t>
        </is>
      </c>
      <c r="B14" s="5" t="n">
        <v>3</v>
      </c>
      <c r="C14" s="5" t="n">
        <v>3.1</v>
      </c>
      <c r="D14" s="5" t="n">
        <v>3.2</v>
      </c>
      <c r="E14" s="5" t="inlineStr"/>
      <c r="F14" s="5" t="inlineStr"/>
      <c r="G14" s="5" t="inlineStr"/>
      <c r="H14" s="5" t="inlineStr">
        <is>
          <t>Beneficio</t>
        </is>
      </c>
    </row>
    <row r="15">
      <c r="A15" s="5" t="inlineStr">
        <is>
          <t>Costo Total N&amp;C</t>
        </is>
      </c>
      <c r="B15" s="7">
        <f>B12*(B13+B14)</f>
        <v/>
      </c>
      <c r="C15" s="7">
        <f>C12*(C13+C14)</f>
        <v/>
      </c>
      <c r="D15" s="7">
        <f>D12*(D13+D14)</f>
        <v/>
      </c>
      <c r="E15" s="7">
        <f>SUM(B15:D15)</f>
        <v/>
      </c>
      <c r="F15" s="5" t="inlineStr"/>
      <c r="G15" s="5" t="inlineStr"/>
      <c r="H15" s="5" t="inlineStr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</row>
    <row r="17">
      <c r="A17" s="8" t="inlineStr">
        <is>
          <t>TOTAL COSTOS VARIABLES</t>
        </is>
      </c>
      <c r="B17" s="8">
        <f>B9+B15</f>
        <v/>
      </c>
      <c r="C17" s="8">
        <f>C9+C15</f>
        <v/>
      </c>
      <c r="D17" s="8">
        <f>D9+D15</f>
        <v/>
      </c>
      <c r="E17" s="8">
        <f>SUM(B17:D17)</f>
        <v/>
      </c>
      <c r="F17" s="8" t="inlineStr"/>
      <c r="G17" s="8" t="inlineStr"/>
      <c r="H17" s="8" t="inlineStr"/>
    </row>
    <row r="19">
      <c r="A19" s="10" t="inlineStr">
        <is>
          <t>B. GASTOS FIJOS OPERATIVOS (USD/año)</t>
        </is>
      </c>
    </row>
    <row r="20">
      <c r="A20" s="4" t="inlineStr">
        <is>
          <t>Concepto</t>
        </is>
      </c>
      <c r="B20" s="4" t="inlineStr">
        <is>
          <t>Año 1</t>
        </is>
      </c>
      <c r="C20" s="4" t="inlineStr">
        <is>
          <t>Año 2</t>
        </is>
      </c>
      <c r="D20" s="4" t="inlineStr">
        <is>
          <t>Año 3</t>
        </is>
      </c>
      <c r="E20" s="4" t="inlineStr">
        <is>
          <t>Total 3 Años</t>
        </is>
      </c>
      <c r="F20" s="4" t="inlineStr">
        <is>
          <t>Mensual Y1</t>
        </is>
      </c>
      <c r="G20" s="4" t="inlineStr">
        <is>
          <t>%</t>
        </is>
      </c>
      <c r="H20" s="4" t="inlineStr">
        <is>
          <t>Notas</t>
        </is>
      </c>
    </row>
    <row r="21">
      <c r="A21" s="5" t="inlineStr">
        <is>
          <t>Nómina Administrativa</t>
        </is>
      </c>
      <c r="B21" s="7">
        <f>'1. Parámetros'!B68</f>
        <v/>
      </c>
      <c r="C21" s="7">
        <f>'1. Parámetros'!C68</f>
        <v/>
      </c>
      <c r="D21" s="7">
        <f>'1. Parámetros'!D68</f>
        <v/>
      </c>
      <c r="E21" s="7">
        <f>SUM(B22:D22)</f>
        <v/>
      </c>
      <c r="F21" s="7">
        <f>B22/12</f>
        <v/>
      </c>
      <c r="G21" s="5" t="inlineStr"/>
      <c r="H21" s="5" t="inlineStr"/>
    </row>
    <row r="22">
      <c r="A22" s="5" t="inlineStr">
        <is>
          <t>Nómina Operativa</t>
        </is>
      </c>
      <c r="B22" s="7">
        <f>'1. Parámetros'!B69</f>
        <v/>
      </c>
      <c r="C22" s="7">
        <f>'1. Parámetros'!C69</f>
        <v/>
      </c>
      <c r="D22" s="7">
        <f>'1. Parámetros'!D69</f>
        <v/>
      </c>
      <c r="E22" s="7">
        <f>SUM(B23:D23)</f>
        <v/>
      </c>
      <c r="F22" s="7">
        <f>B23/12</f>
        <v/>
      </c>
      <c r="G22" s="5" t="inlineStr"/>
      <c r="H22" s="5" t="inlineStr"/>
    </row>
    <row r="23">
      <c r="A23" s="5" t="inlineStr">
        <is>
          <t>Servicios</t>
        </is>
      </c>
      <c r="B23" s="7">
        <f>'1. Parámetros'!B70</f>
        <v/>
      </c>
      <c r="C23" s="7">
        <f>'1. Parámetros'!C70</f>
        <v/>
      </c>
      <c r="D23" s="7">
        <f>'1. Parámetros'!D70</f>
        <v/>
      </c>
      <c r="E23" s="7">
        <f>SUM(B24:D24)</f>
        <v/>
      </c>
      <c r="F23" s="7">
        <f>B24/12</f>
        <v/>
      </c>
      <c r="G23" s="5" t="inlineStr"/>
      <c r="H23" s="5" t="inlineStr"/>
    </row>
    <row r="24">
      <c r="A24" s="5" t="inlineStr">
        <is>
          <t>Mantenimiento</t>
        </is>
      </c>
      <c r="B24" s="7">
        <f>'1. Parámetros'!B71</f>
        <v/>
      </c>
      <c r="C24" s="7">
        <f>'1. Parámetros'!C71</f>
        <v/>
      </c>
      <c r="D24" s="7">
        <f>'1. Parámetros'!D71</f>
        <v/>
      </c>
      <c r="E24" s="7">
        <f>SUM(B25:D25)</f>
        <v/>
      </c>
      <c r="F24" s="7">
        <f>B25/12</f>
        <v/>
      </c>
      <c r="G24" s="5" t="inlineStr"/>
      <c r="H24" s="5" t="inlineStr"/>
    </row>
    <row r="25">
      <c r="A25" s="5" t="inlineStr">
        <is>
          <t>Seguros y Legal</t>
        </is>
      </c>
      <c r="B25" s="7">
        <f>'1. Parámetros'!B72</f>
        <v/>
      </c>
      <c r="C25" s="7">
        <f>'1. Parámetros'!C72</f>
        <v/>
      </c>
      <c r="D25" s="7">
        <f>'1. Parámetros'!D72</f>
        <v/>
      </c>
      <c r="E25" s="7">
        <f>SUM(B26:D26)</f>
        <v/>
      </c>
      <c r="F25" s="7">
        <f>B26/12</f>
        <v/>
      </c>
      <c r="G25" s="5" t="inlineStr"/>
      <c r="H25" s="5" t="inlineStr"/>
    </row>
    <row r="26">
      <c r="A26" s="5" t="inlineStr">
        <is>
          <t>Gestión Ambiental</t>
        </is>
      </c>
      <c r="B26" s="7">
        <f>'1. Parámetros'!B73</f>
        <v/>
      </c>
      <c r="C26" s="7">
        <f>'1. Parámetros'!C73</f>
        <v/>
      </c>
      <c r="D26" s="7">
        <f>'1. Parámetros'!D73</f>
        <v/>
      </c>
      <c r="E26" s="7">
        <f>SUM(B27:D27)</f>
        <v/>
      </c>
      <c r="F26" s="7">
        <f>B27/12</f>
        <v/>
      </c>
      <c r="G26" s="5" t="inlineStr"/>
      <c r="H26" s="5" t="inlineStr"/>
    </row>
    <row r="27">
      <c r="A27" s="5" t="inlineStr">
        <is>
          <t>I+D Laboratorio</t>
        </is>
      </c>
      <c r="B27" s="7">
        <f>'1. Parámetros'!B74</f>
        <v/>
      </c>
      <c r="C27" s="7">
        <f>'1. Parámetros'!C74</f>
        <v/>
      </c>
      <c r="D27" s="7">
        <f>'1. Parámetros'!D74</f>
        <v/>
      </c>
      <c r="E27" s="7">
        <f>SUM(B28:D28)</f>
        <v/>
      </c>
      <c r="F27" s="7">
        <f>B28/12</f>
        <v/>
      </c>
      <c r="G27" s="5" t="inlineStr"/>
      <c r="H27" s="5" t="inlineStr"/>
    </row>
    <row r="28">
      <c r="A28" s="5" t="inlineStr">
        <is>
          <t>Depreciación</t>
        </is>
      </c>
      <c r="B28" s="7">
        <f>'1. Parámetros'!B75</f>
        <v/>
      </c>
      <c r="C28" s="7">
        <f>'1. Parámetros'!C75</f>
        <v/>
      </c>
      <c r="D28" s="7">
        <f>'1. Parámetros'!D75</f>
        <v/>
      </c>
      <c r="E28" s="7">
        <f>SUM(B29:D29)</f>
        <v/>
      </c>
      <c r="F28" s="7">
        <f>B29/12</f>
        <v/>
      </c>
      <c r="G28" s="5" t="inlineStr"/>
      <c r="H28" s="5" t="inlineStr"/>
    </row>
    <row r="29">
      <c r="A29" s="8" t="inlineStr">
        <is>
          <t>TOTAL GASTOS FIJOS</t>
        </is>
      </c>
      <c r="B29" s="8">
        <f>SUM(B22:B29)</f>
        <v/>
      </c>
      <c r="C29" s="8">
        <f>SUM(C22:C29)</f>
        <v/>
      </c>
      <c r="D29" s="8">
        <f>SUM(D22:D29)</f>
        <v/>
      </c>
      <c r="E29" s="8">
        <f>SUM(B30:D30)</f>
        <v/>
      </c>
      <c r="F29" s="8">
        <f>B30/12</f>
        <v/>
      </c>
      <c r="G29" s="8" t="inlineStr"/>
      <c r="H29" s="8" t="inlineStr"/>
    </row>
    <row r="31">
      <c r="A31" s="10" t="inlineStr">
        <is>
          <t>C. PROGRAMA BEAT SERIES - COSTOS INTEGRADOS (USD)</t>
        </is>
      </c>
    </row>
    <row r="32">
      <c r="A32" s="4" t="inlineStr">
        <is>
          <t>Concepto</t>
        </is>
      </c>
      <c r="B32" s="4" t="inlineStr">
        <is>
          <t>Año 1</t>
        </is>
      </c>
      <c r="C32" s="4" t="inlineStr">
        <is>
          <t>Año 2</t>
        </is>
      </c>
      <c r="D32" s="4" t="inlineStr">
        <is>
          <t>Año 3</t>
        </is>
      </c>
      <c r="E32" s="4" t="inlineStr">
        <is>
          <t>Total 3 Años</t>
        </is>
      </c>
      <c r="F32" s="4" t="inlineStr">
        <is>
          <t>Fórmula</t>
        </is>
      </c>
      <c r="G32" s="4" t="inlineStr"/>
      <c r="H32" s="4" t="inlineStr"/>
    </row>
    <row r="33">
      <c r="A33" s="11" t="inlineStr">
        <is>
          <t>SUBSIDIOS (Ingreso No Percibido)</t>
        </is>
      </c>
      <c r="B33" s="11" t="inlineStr"/>
      <c r="C33" s="11" t="inlineStr"/>
      <c r="D33" s="11" t="inlineStr"/>
      <c r="E33" s="11" t="inlineStr"/>
      <c r="F33" s="11" t="inlineStr"/>
      <c r="G33" s="11" t="inlineStr"/>
      <c r="H33" s="11" t="inlineStr"/>
    </row>
    <row r="34">
      <c r="A34" s="5" t="inlineStr">
        <is>
          <t>Vol. N1 (kg→lbs)</t>
        </is>
      </c>
      <c r="B34" s="7">
        <f>'1. Parámetros'!B80*'1. Parámetros'!B81*2.2046</f>
        <v/>
      </c>
      <c r="C34" s="7">
        <f>'1. Parámetros'!C80*'1. Parámetros'!C81*2.2046</f>
        <v/>
      </c>
      <c r="D34" s="7">
        <f>'1. Parámetros'!D80*'1. Parámetros'!D81*2.2046</f>
        <v/>
      </c>
      <c r="E34" s="7">
        <f>SUM(B34:D34)</f>
        <v/>
      </c>
      <c r="F34" s="5" t="inlineStr">
        <is>
          <t>Comp×Vol×2.2046</t>
        </is>
      </c>
      <c r="G34" s="5" t="inlineStr"/>
      <c r="H34" s="5" t="inlineStr"/>
    </row>
    <row r="35">
      <c r="A35" s="5" t="inlineStr">
        <is>
          <t>Subsidio N1 (30%)</t>
        </is>
      </c>
      <c r="B35" s="7">
        <f>B34*45*0.30</f>
        <v/>
      </c>
      <c r="C35" s="7">
        <f>C34*46*0.30</f>
        <v/>
      </c>
      <c r="D35" s="7">
        <f>D34*48*0.30</f>
        <v/>
      </c>
      <c r="E35" s="7">
        <f>SUM(B35:D35)</f>
        <v/>
      </c>
      <c r="F35" s="5" t="inlineStr">
        <is>
          <t>Vol×Precio×30%</t>
        </is>
      </c>
      <c r="G35" s="5" t="inlineStr"/>
      <c r="H35" s="5" t="inlineStr"/>
    </row>
    <row r="36">
      <c r="A36" s="5" t="inlineStr">
        <is>
          <t>Vol. N2A (kg→lbs)</t>
        </is>
      </c>
      <c r="B36" s="7">
        <f>'1. Parámetros'!B85*'1. Parámetros'!B86*2.2046</f>
        <v/>
      </c>
      <c r="C36" s="7">
        <f>'1. Parámetros'!C85*'1. Parámetros'!C86*2.2046</f>
        <v/>
      </c>
      <c r="D36" s="7">
        <f>'1. Parámetros'!D85*'1. Parámetros'!D86*2.2046</f>
        <v/>
      </c>
      <c r="E36" s="7">
        <f>SUM(B36:D36)</f>
        <v/>
      </c>
      <c r="F36" s="5" t="inlineStr"/>
      <c r="G36" s="5" t="inlineStr"/>
      <c r="H36" s="5" t="inlineStr"/>
    </row>
    <row r="37">
      <c r="A37" s="5" t="inlineStr">
        <is>
          <t>Subsidio N2A (100%)</t>
        </is>
      </c>
      <c r="B37" s="7">
        <f>B36*55*1.00</f>
        <v/>
      </c>
      <c r="C37" s="7">
        <f>C36*58*1.00</f>
        <v/>
      </c>
      <c r="D37" s="7">
        <f>D36*60*1.00</f>
        <v/>
      </c>
      <c r="E37" s="7">
        <f>SUM(B37:D37)</f>
        <v/>
      </c>
      <c r="F37" s="5" t="inlineStr">
        <is>
          <t>Vol×Precio×100%</t>
        </is>
      </c>
      <c r="G37" s="5" t="inlineStr"/>
      <c r="H37" s="5" t="inlineStr"/>
    </row>
    <row r="38">
      <c r="A38" s="5" t="inlineStr">
        <is>
          <t>Vol. N2B (kg→lbs)</t>
        </is>
      </c>
      <c r="B38" s="7">
        <f>'1. Parámetros'!B90*'1. Parámetros'!B86*2.2046</f>
        <v/>
      </c>
      <c r="C38" s="7">
        <f>'1. Parámetros'!C90*'1. Parámetros'!C86*2.2046</f>
        <v/>
      </c>
      <c r="D38" s="7">
        <f>'1. Parámetros'!D90*'1. Parámetros'!D86*2.2046</f>
        <v/>
      </c>
      <c r="E38" s="7">
        <f>SUM(B38:D38)</f>
        <v/>
      </c>
      <c r="F38" s="5" t="inlineStr"/>
      <c r="G38" s="5" t="inlineStr"/>
      <c r="H38" s="5" t="inlineStr"/>
    </row>
    <row r="39">
      <c r="A39" s="5" t="inlineStr">
        <is>
          <t>Subsidio N2B (70%)</t>
        </is>
      </c>
      <c r="B39" s="7">
        <f>B38*55*0.70</f>
        <v/>
      </c>
      <c r="C39" s="7">
        <f>C38*58*0.70</f>
        <v/>
      </c>
      <c r="D39" s="7">
        <f>D38*60*0.70</f>
        <v/>
      </c>
      <c r="E39" s="7">
        <f>SUM(B39:D39)</f>
        <v/>
      </c>
      <c r="F39" s="5" t="inlineStr">
        <is>
          <t>Vol×Precio×70%</t>
        </is>
      </c>
      <c r="G39" s="5" t="inlineStr"/>
      <c r="H39" s="5" t="inlineStr"/>
    </row>
    <row r="40">
      <c r="A40" s="8" t="inlineStr">
        <is>
          <t>Subtotal Subsidios</t>
        </is>
      </c>
      <c r="B40" s="8">
        <f>B35+B37+B39</f>
        <v/>
      </c>
      <c r="C40" s="8">
        <f>C35+C37+C39</f>
        <v/>
      </c>
      <c r="D40" s="8">
        <f>D35+D37+D39</f>
        <v/>
      </c>
      <c r="E40" s="8">
        <f>SUM(B40:D40)</f>
        <v/>
      </c>
      <c r="F40" s="8" t="inlineStr"/>
      <c r="G40" s="8" t="inlineStr"/>
      <c r="H40" s="8" t="inlineStr"/>
    </row>
    <row r="41">
      <c r="A41" s="5" t="inlineStr"/>
      <c r="B41" s="5" t="inlineStr"/>
      <c r="C41" s="5" t="inlineStr"/>
      <c r="D41" s="5" t="inlineStr"/>
      <c r="E41" s="5" t="inlineStr"/>
      <c r="F41" s="5" t="inlineStr"/>
      <c r="G41" s="5" t="inlineStr"/>
      <c r="H41" s="5" t="inlineStr"/>
    </row>
    <row r="42">
      <c r="A42" s="11" t="inlineStr">
        <is>
          <t>COSTOS OPERATIVOS</t>
        </is>
      </c>
      <c r="B42" s="11" t="inlineStr"/>
      <c r="C42" s="11" t="inlineStr"/>
      <c r="D42" s="11" t="inlineStr"/>
      <c r="E42" s="11" t="inlineStr"/>
      <c r="F42" s="11" t="inlineStr"/>
      <c r="G42" s="11" t="inlineStr"/>
      <c r="H42" s="11" t="inlineStr"/>
    </row>
    <row r="43">
      <c r="A43" s="5" t="inlineStr">
        <is>
          <t>Envíos N2 (N2A+N2B)</t>
        </is>
      </c>
      <c r="B43" s="7">
        <f>('1. Parámetros'!B85+'1. Parámetros'!B90)*'1. Parámetros'!B94</f>
        <v/>
      </c>
      <c r="C43" s="7">
        <f>('1. Parámetros'!C85+'1. Parámetros'!C90)*'1. Parámetros'!C94</f>
        <v/>
      </c>
      <c r="D43" s="7">
        <f>('1. Parámetros'!D85+'1. Parámetros'!D90)*'1. Parámetros'!D94</f>
        <v/>
      </c>
      <c r="E43" s="7">
        <f>SUM(B43:D43)</f>
        <v/>
      </c>
      <c r="F43" s="5" t="inlineStr"/>
      <c r="G43" s="5" t="inlineStr"/>
      <c r="H43" s="5" t="inlineStr"/>
    </row>
    <row r="44">
      <c r="A44" s="5" t="inlineStr">
        <is>
          <t>Kits N1</t>
        </is>
      </c>
      <c r="B44" s="7">
        <f>'1. Parámetros'!B80*'1. Parámetros'!B95</f>
        <v/>
      </c>
      <c r="C44" s="7">
        <f>'1. Parámetros'!C80*'1. Parámetros'!C95</f>
        <v/>
      </c>
      <c r="D44" s="7">
        <f>'1. Parámetros'!D80*'1. Parámetros'!D95</f>
        <v/>
      </c>
      <c r="E44" s="7">
        <f>SUM(B44:D44)</f>
        <v/>
      </c>
      <c r="F44" s="5" t="inlineStr"/>
      <c r="G44" s="5" t="inlineStr"/>
      <c r="H44" s="5" t="inlineStr"/>
    </row>
    <row r="45">
      <c r="A45" s="5" t="inlineStr">
        <is>
          <t>Kits N2</t>
        </is>
      </c>
      <c r="B45" s="7">
        <f>('1. Parámetros'!B85+'1. Parámetros'!B90)*'1. Parámetros'!B96</f>
        <v/>
      </c>
      <c r="C45" s="7">
        <f>('1. Parámetros'!C85+'1. Parámetros'!C90)*'1. Parámetros'!C96</f>
        <v/>
      </c>
      <c r="D45" s="7">
        <f>('1. Parámetros'!D85+'1. Parámetros'!D90)*'1. Parámetros'!D96</f>
        <v/>
      </c>
      <c r="E45" s="7">
        <f>SUM(B45:D45)</f>
        <v/>
      </c>
      <c r="F45" s="5" t="inlineStr"/>
      <c r="G45" s="5" t="inlineStr"/>
      <c r="H45" s="5" t="inlineStr"/>
    </row>
    <row r="46">
      <c r="A46" s="5" t="inlineStr">
        <is>
          <t>Soporte Técnico</t>
        </is>
      </c>
      <c r="B46" s="7">
        <f>('1. Parámetros'!B85+'1. Parámetros'!B90)*'1. Parámetros'!B97*'1. Parámetros'!B98</f>
        <v/>
      </c>
      <c r="C46" s="7">
        <f>('1. Parámetros'!C85+'1. Parámetros'!C90)*'1. Parámetros'!C97*'1. Parámetros'!C98</f>
        <v/>
      </c>
      <c r="D46" s="7">
        <f>('1. Parámetros'!D85+'1. Parámetros'!D90)*'1. Parámetros'!D97*'1. Parámetros'!D98</f>
        <v/>
      </c>
      <c r="E46" s="7">
        <f>SUM(B46:D46)</f>
        <v/>
      </c>
      <c r="F46" s="5" t="inlineStr"/>
      <c r="G46" s="5" t="inlineStr"/>
      <c r="H46" s="5" t="inlineStr"/>
    </row>
    <row r="47">
      <c r="A47" s="5" t="inlineStr">
        <is>
          <t>Marketing y Contenido</t>
        </is>
      </c>
      <c r="B47" s="7">
        <f>'1. Parámetros'!B99</f>
        <v/>
      </c>
      <c r="C47" s="7">
        <f>'1. Parámetros'!C99</f>
        <v/>
      </c>
      <c r="D47" s="7">
        <f>'1. Parámetros'!D99</f>
        <v/>
      </c>
      <c r="E47" s="7">
        <f>SUM(B47:D47)</f>
        <v/>
      </c>
      <c r="F47" s="5" t="inlineStr"/>
      <c r="G47" s="5" t="inlineStr"/>
      <c r="H47" s="5" t="inlineStr"/>
    </row>
    <row r="48">
      <c r="A48" s="5" t="inlineStr">
        <is>
          <t>Eventos Post-Competencia</t>
        </is>
      </c>
      <c r="B48" s="7">
        <f>'1. Parámetros'!B100</f>
        <v/>
      </c>
      <c r="C48" s="7">
        <f>'1. Parámetros'!C100</f>
        <v/>
      </c>
      <c r="D48" s="7">
        <f>'1. Parámetros'!D100</f>
        <v/>
      </c>
      <c r="E48" s="7">
        <f>SUM(B48:D48)</f>
        <v/>
      </c>
      <c r="F48" s="5" t="inlineStr"/>
      <c r="G48" s="5" t="inlineStr"/>
      <c r="H48" s="5" t="inlineStr"/>
    </row>
    <row r="49">
      <c r="A49" s="8" t="inlineStr">
        <is>
          <t>Subtotal Operativos</t>
        </is>
      </c>
      <c r="B49" s="8">
        <f>SUM(B43:B48)</f>
        <v/>
      </c>
      <c r="C49" s="8">
        <f>SUM(C43:C48)</f>
        <v/>
      </c>
      <c r="D49" s="8">
        <f>SUM(D43:D48)</f>
        <v/>
      </c>
      <c r="E49" s="8">
        <f>SUM(B49:D49)</f>
        <v/>
      </c>
      <c r="F49" s="8" t="inlineStr"/>
      <c r="G49" s="8" t="inlineStr"/>
      <c r="H49" s="8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  <c r="G50" s="5" t="inlineStr"/>
      <c r="H50" s="5" t="inlineStr"/>
    </row>
    <row r="51">
      <c r="A51" s="8" t="inlineStr">
        <is>
          <t>TOTAL BEAT SERIES</t>
        </is>
      </c>
      <c r="B51" s="8">
        <f>B40+B49</f>
        <v/>
      </c>
      <c r="C51" s="8">
        <f>C40+C49</f>
        <v/>
      </c>
      <c r="D51" s="8">
        <f>D40+D49</f>
        <v/>
      </c>
      <c r="E51" s="8">
        <f>SUM(B51:D51)</f>
        <v/>
      </c>
      <c r="F51" s="8" t="inlineStr"/>
      <c r="G51" s="8" t="inlineStr"/>
      <c r="H51" s="8" t="inlineStr"/>
    </row>
    <row r="53">
      <c r="A53" s="10" t="inlineStr">
        <is>
          <t>D. RESUMEN TOTAL DE COSTOS (USD)</t>
        </is>
      </c>
    </row>
    <row r="54">
      <c r="A54" s="4" t="inlineStr">
        <is>
          <t>Concepto</t>
        </is>
      </c>
      <c r="B54" s="4" t="inlineStr">
        <is>
          <t>Año 1</t>
        </is>
      </c>
      <c r="C54" s="4" t="inlineStr">
        <is>
          <t>Año 2</t>
        </is>
      </c>
      <c r="D54" s="4" t="inlineStr">
        <is>
          <t>Año 3</t>
        </is>
      </c>
      <c r="E54" s="4" t="inlineStr">
        <is>
          <t>Total 3 Años</t>
        </is>
      </c>
      <c r="F54" s="4" t="inlineStr">
        <is>
          <t>% Año 1</t>
        </is>
      </c>
      <c r="G54" s="4" t="inlineStr"/>
      <c r="H54" s="4" t="inlineStr"/>
    </row>
    <row r="55">
      <c r="A55" s="5" t="inlineStr">
        <is>
          <t>Costos Variables Producción</t>
        </is>
      </c>
      <c r="B55" s="7">
        <f>B17</f>
        <v/>
      </c>
      <c r="C55" s="7">
        <f>C17</f>
        <v/>
      </c>
      <c r="D55" s="7">
        <f>D17</f>
        <v/>
      </c>
      <c r="E55" s="7">
        <f>SUM(B55:D55)</f>
        <v/>
      </c>
      <c r="F55" s="5" t="inlineStr"/>
      <c r="G55" s="5" t="inlineStr"/>
      <c r="H55" s="5" t="inlineStr"/>
    </row>
    <row r="56">
      <c r="A56" s="5" t="inlineStr">
        <is>
          <t>Gastos Fijos Operativos</t>
        </is>
      </c>
      <c r="B56" s="7">
        <f>B30</f>
        <v/>
      </c>
      <c r="C56" s="7">
        <f>C30</f>
        <v/>
      </c>
      <c r="D56" s="7">
        <f>D30</f>
        <v/>
      </c>
      <c r="E56" s="7">
        <f>SUM(B56:D56)</f>
        <v/>
      </c>
      <c r="F56" s="5" t="inlineStr"/>
      <c r="G56" s="5" t="inlineStr"/>
      <c r="H56" s="5" t="inlineStr"/>
    </row>
    <row r="57">
      <c r="A57" s="5" t="inlineStr">
        <is>
          <t>Programa Beat Series</t>
        </is>
      </c>
      <c r="B57" s="7">
        <f>B51</f>
        <v/>
      </c>
      <c r="C57" s="7">
        <f>C51</f>
        <v/>
      </c>
      <c r="D57" s="7">
        <f>D51</f>
        <v/>
      </c>
      <c r="E57" s="7">
        <f>SUM(B57:D57)</f>
        <v/>
      </c>
      <c r="F57" s="5" t="inlineStr"/>
      <c r="G57" s="5" t="inlineStr"/>
      <c r="H57" s="5" t="inlineStr"/>
    </row>
    <row r="58">
      <c r="A58" s="8" t="inlineStr">
        <is>
          <t>TOTAL COSTOS Y GASTOS</t>
        </is>
      </c>
      <c r="B58" s="8">
        <f>SUM(B55:B57)</f>
        <v/>
      </c>
      <c r="C58" s="8">
        <f>SUM(C55:C57)</f>
        <v/>
      </c>
      <c r="D58" s="8">
        <f>SUM(D55:D57)</f>
        <v/>
      </c>
      <c r="E58" s="8">
        <f>SUM(B58:D58)</f>
        <v/>
      </c>
      <c r="F58" s="8" t="inlineStr">
        <is>
          <t>100%</t>
        </is>
      </c>
      <c r="G58" s="8" t="inlineStr"/>
      <c r="H58" s="8" t="inlineStr"/>
    </row>
  </sheetData>
  <mergeCells count="6">
    <mergeCell ref="A4:H4"/>
    <mergeCell ref="A53:H53"/>
    <mergeCell ref="A2:H2"/>
    <mergeCell ref="A19:H19"/>
    <mergeCell ref="A1:H1"/>
    <mergeCell ref="A31:H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</cols>
  <sheetData>
    <row r="1">
      <c r="A1" s="1" t="inlineStr">
        <is>
          <t>ESTADO DE PÉRDIDAS Y GANANCIAS CONSOLIDADO</t>
        </is>
      </c>
    </row>
    <row r="2">
      <c r="A2" s="2" t="inlineStr">
        <is>
          <t>Proyección 2026-2028 | Integrado con todas las líneas de negocio</t>
        </is>
      </c>
    </row>
    <row r="4">
      <c r="A4" s="12" t="inlineStr">
        <is>
          <t>Concepto</t>
        </is>
      </c>
      <c r="B4" s="12" t="inlineStr">
        <is>
          <t>Año 1 (2026)</t>
        </is>
      </c>
      <c r="C4" s="12" t="inlineStr">
        <is>
          <t>Año 2 (2027)</t>
        </is>
      </c>
      <c r="D4" s="12" t="inlineStr">
        <is>
          <t>Año 3 (2028)</t>
        </is>
      </c>
      <c r="E4" s="12" t="inlineStr">
        <is>
          <t>Total 3 Años</t>
        </is>
      </c>
      <c r="F4" s="12" t="inlineStr">
        <is>
          <t>% Año 1</t>
        </is>
      </c>
    </row>
    <row r="5">
      <c r="A5" s="11" t="inlineStr">
        <is>
          <t>INGRESOS OPERACIONALES</t>
        </is>
      </c>
      <c r="B5" s="11" t="inlineStr"/>
      <c r="C5" s="11" t="inlineStr"/>
      <c r="D5" s="11" t="inlineStr"/>
      <c r="E5" s="11" t="inlineStr"/>
      <c r="F5" s="11" t="inlineStr"/>
    </row>
    <row r="6">
      <c r="A6" s="5" t="inlineStr">
        <is>
          <t>Café Finca (Aurora+Alma+Landscape+CraftLab)</t>
        </is>
      </c>
      <c r="B6" s="7">
        <f>'2. Ingresos'!B23</f>
        <v/>
      </c>
      <c r="C6" s="7">
        <f>'2. Ingresos'!C23</f>
        <v/>
      </c>
      <c r="D6" s="7">
        <f>'2. Ingresos'!D23</f>
        <v/>
      </c>
      <c r="E6" s="7">
        <f>SUM(B6:D6)</f>
        <v/>
      </c>
      <c r="F6" s="5" t="inlineStr"/>
    </row>
    <row r="7">
      <c r="A7" s="5" t="inlineStr">
        <is>
          <t>Café N&amp;C / Symbiosis</t>
        </is>
      </c>
      <c r="B7" s="7">
        <f>'2. Ingresos'!B25</f>
        <v/>
      </c>
      <c r="C7" s="7">
        <f>'2. Ingresos'!C25</f>
        <v/>
      </c>
      <c r="D7" s="7">
        <f>'2. Ingresos'!D25</f>
        <v/>
      </c>
      <c r="E7" s="7">
        <f>SUM(B7:D7)</f>
        <v/>
      </c>
      <c r="F7" s="5" t="inlineStr"/>
    </row>
    <row r="8">
      <c r="A8" s="5" t="inlineStr">
        <is>
          <t>Turismo y Hospedaje</t>
        </is>
      </c>
      <c r="B8" s="7">
        <f>'2. Ingresos'!B27</f>
        <v/>
      </c>
      <c r="C8" s="7">
        <f>'2. Ingresos'!C27</f>
        <v/>
      </c>
      <c r="D8" s="7">
        <f>'2. Ingresos'!D27</f>
        <v/>
      </c>
      <c r="E8" s="7">
        <f>SUM(B8:D8)</f>
        <v/>
      </c>
      <c r="F8" s="5" t="inlineStr"/>
    </row>
    <row r="9">
      <c r="A9" s="5" t="inlineStr">
        <is>
          <t>Educación y Consultoría</t>
        </is>
      </c>
      <c r="B9" s="7">
        <f>'2. Ingresos'!B28+'2. Ingresos'!B29</f>
        <v/>
      </c>
      <c r="C9" s="7">
        <f>'2. Ingresos'!C28+'2. Ingresos'!C29</f>
        <v/>
      </c>
      <c r="D9" s="7">
        <f>'2. Ingresos'!D28+'2. Ingresos'!D29</f>
        <v/>
      </c>
      <c r="E9" s="7">
        <f>SUM(B9:D9)</f>
        <v/>
      </c>
      <c r="F9" s="5" t="inlineStr"/>
    </row>
    <row r="10">
      <c r="A10" s="8" t="inlineStr">
        <is>
          <t>TOTAL INGRESOS</t>
        </is>
      </c>
      <c r="B10" s="8">
        <f>SUM(B6:B9)</f>
        <v/>
      </c>
      <c r="C10" s="8">
        <f>SUM(C6:C9)</f>
        <v/>
      </c>
      <c r="D10" s="8">
        <f>SUM(D6:D9)</f>
        <v/>
      </c>
      <c r="E10" s="8">
        <f>SUM(B10:D10)</f>
        <v/>
      </c>
      <c r="F10" s="8" t="inlineStr">
        <is>
          <t>100%</t>
        </is>
      </c>
    </row>
    <row r="11">
      <c r="A11" s="5" t="inlineStr"/>
      <c r="B11" s="5" t="inlineStr"/>
      <c r="C11" s="5" t="inlineStr"/>
      <c r="D11" s="5" t="inlineStr"/>
      <c r="E11" s="5" t="inlineStr"/>
      <c r="F11" s="5" t="inlineStr"/>
    </row>
    <row r="12">
      <c r="A12" s="11" t="inlineStr">
        <is>
          <t>COSTOS DIRECTOS</t>
        </is>
      </c>
      <c r="B12" s="11" t="inlineStr"/>
      <c r="C12" s="11" t="inlineStr"/>
      <c r="D12" s="11" t="inlineStr"/>
      <c r="E12" s="11" t="inlineStr"/>
      <c r="F12" s="11" t="inlineStr"/>
    </row>
    <row r="13">
      <c r="A13" s="5" t="inlineStr">
        <is>
          <t>Costo Producción Café Finca</t>
        </is>
      </c>
      <c r="B13" s="7">
        <f>'3. Costos'!B9</f>
        <v/>
      </c>
      <c r="C13" s="7">
        <f>'3. Costos'!C9</f>
        <v/>
      </c>
      <c r="D13" s="7">
        <f>'3. Costos'!D9</f>
        <v/>
      </c>
      <c r="E13" s="7">
        <f>SUM(B13:D13)</f>
        <v/>
      </c>
      <c r="F13" s="5" t="inlineStr"/>
    </row>
    <row r="14">
      <c r="A14" s="5" t="inlineStr">
        <is>
          <t>Costo Compra y Proceso N&amp;C</t>
        </is>
      </c>
      <c r="B14" s="7">
        <f>'3. Costos'!B15</f>
        <v/>
      </c>
      <c r="C14" s="7">
        <f>'3. Costos'!C15</f>
        <v/>
      </c>
      <c r="D14" s="7">
        <f>'3. Costos'!D15</f>
        <v/>
      </c>
      <c r="E14" s="7">
        <f>SUM(B14:D14)</f>
        <v/>
      </c>
      <c r="F14" s="5" t="inlineStr"/>
    </row>
    <row r="15">
      <c r="A15" s="13" t="inlineStr">
        <is>
          <t>Costo Turismo/Educación (Est. 25%)</t>
        </is>
      </c>
      <c r="B15" s="14">
        <f>(B8+B9)*0.25</f>
        <v/>
      </c>
      <c r="C15" s="14">
        <f>(C8+C9)*0.25</f>
        <v/>
      </c>
      <c r="D15" s="14">
        <f>(D8+D9)*0.25</f>
        <v/>
      </c>
      <c r="E15" s="14">
        <f>SUM(B15:D15)</f>
        <v/>
      </c>
      <c r="F15" s="13" t="inlineStr"/>
    </row>
    <row r="16">
      <c r="A16" s="8" t="inlineStr">
        <is>
          <t>TOTAL COSTOS DIRECTOS</t>
        </is>
      </c>
      <c r="B16" s="8">
        <f>SUM(B13:B15)</f>
        <v/>
      </c>
      <c r="C16" s="8">
        <f>SUM(C13:C15)</f>
        <v/>
      </c>
      <c r="D16" s="8">
        <f>SUM(D13:D15)</f>
        <v/>
      </c>
      <c r="E16" s="8">
        <f>SUM(B16:D16)</f>
        <v/>
      </c>
      <c r="F16" s="8" t="inlineStr"/>
    </row>
    <row r="17">
      <c r="A17" s="5" t="inlineStr"/>
      <c r="B17" s="5" t="inlineStr"/>
      <c r="C17" s="5" t="inlineStr"/>
      <c r="D17" s="5" t="inlineStr"/>
      <c r="E17" s="5" t="inlineStr"/>
      <c r="F17" s="5" t="inlineStr"/>
    </row>
    <row r="18">
      <c r="A18" s="15" t="inlineStr">
        <is>
          <t>UTILIDAD BRUTA</t>
        </is>
      </c>
      <c r="B18" s="15">
        <f>B10-B16</f>
        <v/>
      </c>
      <c r="C18" s="15">
        <f>C10-C16</f>
        <v/>
      </c>
      <c r="D18" s="15">
        <f>D10-D16</f>
        <v/>
      </c>
      <c r="E18" s="15">
        <f>SUM(B18:D18)</f>
        <v/>
      </c>
      <c r="F18" s="15" t="inlineStr"/>
    </row>
    <row r="19">
      <c r="A19" s="13" t="inlineStr">
        <is>
          <t>Margen Bruto %</t>
        </is>
      </c>
      <c r="B19" s="14">
        <f>B18/B10</f>
        <v/>
      </c>
      <c r="C19" s="14">
        <f>C18/C10</f>
        <v/>
      </c>
      <c r="D19" s="14">
        <f>D18/D10</f>
        <v/>
      </c>
      <c r="E19" s="14">
        <f>E18/E10</f>
        <v/>
      </c>
      <c r="F19" s="13" t="inlineStr"/>
    </row>
    <row r="20">
      <c r="A20" s="5" t="inlineStr"/>
      <c r="B20" s="5" t="inlineStr"/>
      <c r="C20" s="5" t="inlineStr"/>
      <c r="D20" s="5" t="inlineStr"/>
      <c r="E20" s="5" t="inlineStr"/>
      <c r="F20" s="5" t="inlineStr"/>
    </row>
    <row r="21">
      <c r="A21" s="11" t="inlineStr">
        <is>
          <t>GASTOS OPERATIVOS</t>
        </is>
      </c>
      <c r="B21" s="11" t="inlineStr"/>
      <c r="C21" s="11" t="inlineStr"/>
      <c r="D21" s="11" t="inlineStr"/>
      <c r="E21" s="11" t="inlineStr"/>
      <c r="F21" s="11" t="inlineStr"/>
    </row>
    <row r="22">
      <c r="A22" s="5" t="inlineStr">
        <is>
          <t>Nómina (Admin + Operativa)</t>
        </is>
      </c>
      <c r="B22" s="7">
        <f>'3. Costos'!B22+'3. Costos'!B23</f>
        <v/>
      </c>
      <c r="C22" s="7">
        <f>'3. Costos'!C22+'3. Costos'!C23</f>
        <v/>
      </c>
      <c r="D22" s="7">
        <f>'3. Costos'!D22+'3. Costos'!D23</f>
        <v/>
      </c>
      <c r="E22" s="7">
        <f>SUM(B22:D22)</f>
        <v/>
      </c>
      <c r="F22" s="5" t="inlineStr"/>
    </row>
    <row r="23">
      <c r="A23" s="5" t="inlineStr">
        <is>
          <t>Servicios y Mantenimiento</t>
        </is>
      </c>
      <c r="B23" s="7">
        <f>'3. Costos'!B24+'3. Costos'!B25</f>
        <v/>
      </c>
      <c r="C23" s="7">
        <f>'3. Costos'!C24+'3. Costos'!C25</f>
        <v/>
      </c>
      <c r="D23" s="7">
        <f>'3. Costos'!D24+'3. Costos'!D25</f>
        <v/>
      </c>
      <c r="E23" s="7">
        <f>SUM(B23:D23)</f>
        <v/>
      </c>
      <c r="F23" s="5" t="inlineStr"/>
    </row>
    <row r="24">
      <c r="A24" s="5" t="inlineStr">
        <is>
          <t>Seguros, Legal, Ambiental</t>
        </is>
      </c>
      <c r="B24" s="7">
        <f>'3. Costos'!B26+'3. Costos'!B27</f>
        <v/>
      </c>
      <c r="C24" s="7">
        <f>'3. Costos'!C26+'3. Costos'!C27</f>
        <v/>
      </c>
      <c r="D24" s="7">
        <f>'3. Costos'!D26+'3. Costos'!D27</f>
        <v/>
      </c>
      <c r="E24" s="7">
        <f>SUM(B24:D24)</f>
        <v/>
      </c>
      <c r="F24" s="5" t="inlineStr"/>
    </row>
    <row r="25">
      <c r="A25" s="5" t="inlineStr">
        <is>
          <t>I+D y Laboratorio</t>
        </is>
      </c>
      <c r="B25" s="7">
        <f>'3. Costos'!B28</f>
        <v/>
      </c>
      <c r="C25" s="7">
        <f>'3. Costos'!C28</f>
        <v/>
      </c>
      <c r="D25" s="7">
        <f>'3. Costos'!D28</f>
        <v/>
      </c>
      <c r="E25" s="7">
        <f>SUM(B25:D25)</f>
        <v/>
      </c>
      <c r="F25" s="5" t="inlineStr"/>
    </row>
    <row r="26">
      <c r="A26" s="8" t="inlineStr">
        <is>
          <t>TOTAL GASTOS OPERATIVOS (sin Beat)</t>
        </is>
      </c>
      <c r="B26" s="8">
        <f>SUM(B22:B25)</f>
        <v/>
      </c>
      <c r="C26" s="8">
        <f>SUM(C22:C25)</f>
        <v/>
      </c>
      <c r="D26" s="8">
        <f>SUM(D22:D25)</f>
        <v/>
      </c>
      <c r="E26" s="8">
        <f>SUM(B26:D26)</f>
        <v/>
      </c>
      <c r="F26" s="8" t="inlineStr"/>
    </row>
    <row r="27">
      <c r="A27" s="5" t="inlineStr"/>
      <c r="B27" s="5" t="inlineStr"/>
      <c r="C27" s="5" t="inlineStr"/>
      <c r="D27" s="5" t="inlineStr"/>
      <c r="E27" s="5" t="inlineStr"/>
      <c r="F27" s="5" t="inlineStr"/>
    </row>
    <row r="28">
      <c r="A28" s="11" t="inlineStr">
        <is>
          <t>PROGRAMA BEAT SERIES (Marketing Estratégico)</t>
        </is>
      </c>
      <c r="B28" s="11" t="inlineStr"/>
      <c r="C28" s="11" t="inlineStr"/>
      <c r="D28" s="11" t="inlineStr"/>
      <c r="E28" s="11" t="inlineStr"/>
      <c r="F28" s="11" t="inlineStr"/>
    </row>
    <row r="29">
      <c r="A29" s="5" t="inlineStr">
        <is>
          <t>Subsidios (Ingreso No Percibido)</t>
        </is>
      </c>
      <c r="B29" s="7">
        <f>'3. Costos'!B40</f>
        <v/>
      </c>
      <c r="C29" s="7">
        <f>'3. Costos'!C40</f>
        <v/>
      </c>
      <c r="D29" s="7">
        <f>'3. Costos'!D40</f>
        <v/>
      </c>
      <c r="E29" s="7">
        <f>SUM(B29:D29)</f>
        <v/>
      </c>
      <c r="F29" s="5" t="inlineStr"/>
    </row>
    <row r="30">
      <c r="A30" s="5" t="inlineStr">
        <is>
          <t>Costos Operativos Beat Series</t>
        </is>
      </c>
      <c r="B30" s="7">
        <f>'3. Costos'!B49</f>
        <v/>
      </c>
      <c r="C30" s="7">
        <f>'3. Costos'!C49</f>
        <v/>
      </c>
      <c r="D30" s="7">
        <f>'3. Costos'!D49</f>
        <v/>
      </c>
      <c r="E30" s="7">
        <f>SUM(B30:D30)</f>
        <v/>
      </c>
      <c r="F30" s="5" t="inlineStr"/>
    </row>
    <row r="31">
      <c r="A31" s="8" t="inlineStr">
        <is>
          <t>TOTAL BEAT SERIES</t>
        </is>
      </c>
      <c r="B31" s="8">
        <f>B29+B30</f>
        <v/>
      </c>
      <c r="C31" s="8">
        <f>C29+C30</f>
        <v/>
      </c>
      <c r="D31" s="8">
        <f>D29+D30</f>
        <v/>
      </c>
      <c r="E31" s="8">
        <f>SUM(B31:D31)</f>
        <v/>
      </c>
      <c r="F31" s="8" t="inlineStr"/>
    </row>
    <row r="32">
      <c r="A32" s="5" t="inlineStr"/>
      <c r="B32" s="5" t="inlineStr"/>
      <c r="C32" s="5" t="inlineStr"/>
      <c r="D32" s="5" t="inlineStr"/>
      <c r="E32" s="5" t="inlineStr"/>
      <c r="F32" s="5" t="inlineStr"/>
    </row>
    <row r="33">
      <c r="A33" s="8" t="inlineStr">
        <is>
          <t>TOTAL GASTOS (Operativos + Beat Series)</t>
        </is>
      </c>
      <c r="B33" s="8">
        <f>B26+B31</f>
        <v/>
      </c>
      <c r="C33" s="8">
        <f>C26+C31</f>
        <v/>
      </c>
      <c r="D33" s="8">
        <f>D26+D31</f>
        <v/>
      </c>
      <c r="E33" s="8">
        <f>SUM(B33:D33)</f>
        <v/>
      </c>
      <c r="F33" s="8" t="inlineStr"/>
    </row>
    <row r="34">
      <c r="A34" s="5" t="inlineStr"/>
      <c r="B34" s="5" t="inlineStr"/>
      <c r="C34" s="5" t="inlineStr"/>
      <c r="D34" s="5" t="inlineStr"/>
      <c r="E34" s="5" t="inlineStr"/>
      <c r="F34" s="5" t="inlineStr"/>
    </row>
    <row r="35">
      <c r="A35" s="15" t="inlineStr">
        <is>
          <t>EBITDA</t>
        </is>
      </c>
      <c r="B35" s="15">
        <f>B18-B33</f>
        <v/>
      </c>
      <c r="C35" s="15">
        <f>C18-C33</f>
        <v/>
      </c>
      <c r="D35" s="15">
        <f>D18-D33</f>
        <v/>
      </c>
      <c r="E35" s="15">
        <f>SUM(B35:D35)</f>
        <v/>
      </c>
      <c r="F35" s="15" t="inlineStr"/>
    </row>
    <row r="36">
      <c r="A36" s="13" t="inlineStr">
        <is>
          <t>Margen EBITDA %</t>
        </is>
      </c>
      <c r="B36" s="14">
        <f>B35/B10</f>
        <v/>
      </c>
      <c r="C36" s="14">
        <f>C35/C10</f>
        <v/>
      </c>
      <c r="D36" s="14">
        <f>D35/D10</f>
        <v/>
      </c>
      <c r="E36" s="14">
        <f>E35/E10</f>
        <v/>
      </c>
      <c r="F36" s="13" t="inlineStr"/>
    </row>
    <row r="37">
      <c r="A37" s="5" t="inlineStr"/>
      <c r="B37" s="5" t="inlineStr"/>
      <c r="C37" s="5" t="inlineStr"/>
      <c r="D37" s="5" t="inlineStr"/>
      <c r="E37" s="5" t="inlineStr"/>
      <c r="F37" s="5" t="inlineStr"/>
    </row>
    <row r="38">
      <c r="A38" s="5" t="inlineStr">
        <is>
          <t>Depreciación</t>
        </is>
      </c>
      <c r="B38" s="7">
        <f>'3. Costos'!B29</f>
        <v/>
      </c>
      <c r="C38" s="7">
        <f>'3. Costos'!C29</f>
        <v/>
      </c>
      <c r="D38" s="7">
        <f>'3. Costos'!D29</f>
        <v/>
      </c>
      <c r="E38" s="7">
        <f>SUM(B38:D38)</f>
        <v/>
      </c>
      <c r="F38" s="5" t="inlineStr"/>
    </row>
    <row r="39">
      <c r="A39" s="5" t="inlineStr"/>
      <c r="B39" s="5" t="inlineStr"/>
      <c r="C39" s="5" t="inlineStr"/>
      <c r="D39" s="5" t="inlineStr"/>
      <c r="E39" s="5" t="inlineStr"/>
      <c r="F39" s="5" t="inlineStr"/>
    </row>
    <row r="40">
      <c r="A40" s="15" t="inlineStr">
        <is>
          <t>UTILIDAD OPERATIVA (EBIT)</t>
        </is>
      </c>
      <c r="B40" s="15">
        <f>B35-B38</f>
        <v/>
      </c>
      <c r="C40" s="15">
        <f>C35-C38</f>
        <v/>
      </c>
      <c r="D40" s="15">
        <f>D35-D38</f>
        <v/>
      </c>
      <c r="E40" s="15">
        <f>SUM(B40:D40)</f>
        <v/>
      </c>
      <c r="F40" s="15" t="inlineStr"/>
    </row>
    <row r="41">
      <c r="A41" s="13" t="inlineStr">
        <is>
          <t>Margen Operativo %</t>
        </is>
      </c>
      <c r="B41" s="14">
        <f>B40/B10</f>
        <v/>
      </c>
      <c r="C41" s="14">
        <f>C40/C10</f>
        <v/>
      </c>
      <c r="D41" s="14">
        <f>D40/D10</f>
        <v/>
      </c>
      <c r="E41" s="14">
        <f>E40/E10</f>
        <v/>
      </c>
      <c r="F41" s="13" t="inlineStr"/>
    </row>
    <row r="42">
      <c r="A42" s="5" t="inlineStr"/>
      <c r="B42" s="5" t="inlineStr"/>
      <c r="C42" s="5" t="inlineStr"/>
      <c r="D42" s="5" t="inlineStr"/>
      <c r="E42" s="5" t="inlineStr"/>
      <c r="F42" s="5" t="inlineStr"/>
    </row>
    <row r="43">
      <c r="A43" s="13" t="inlineStr">
        <is>
          <t>Impuestos Est. (25%)</t>
        </is>
      </c>
      <c r="B43" s="14">
        <f>B40*0.25</f>
        <v/>
      </c>
      <c r="C43" s="14">
        <f>C40*0.25</f>
        <v/>
      </c>
      <c r="D43" s="14">
        <f>D40*0.25</f>
        <v/>
      </c>
      <c r="E43" s="14">
        <f>SUM(B43:D43)</f>
        <v/>
      </c>
      <c r="F43" s="13" t="inlineStr"/>
    </row>
    <row r="44">
      <c r="A44" s="5" t="inlineStr"/>
      <c r="B44" s="5" t="inlineStr"/>
      <c r="C44" s="5" t="inlineStr"/>
      <c r="D44" s="5" t="inlineStr"/>
      <c r="E44" s="5" t="inlineStr"/>
      <c r="F44" s="5" t="inlineStr"/>
    </row>
    <row r="45">
      <c r="A45" s="15" t="inlineStr">
        <is>
          <t>UTILIDAD NETA</t>
        </is>
      </c>
      <c r="B45" s="15">
        <f>B40-B43</f>
        <v/>
      </c>
      <c r="C45" s="15">
        <f>C40-C43</f>
        <v/>
      </c>
      <c r="D45" s="15">
        <f>D40-D43</f>
        <v/>
      </c>
      <c r="E45" s="15">
        <f>SUM(B45:D45)</f>
        <v/>
      </c>
      <c r="F45" s="15" t="inlineStr"/>
    </row>
    <row r="46">
      <c r="A46" s="13" t="inlineStr">
        <is>
          <t>Margen Neto %</t>
        </is>
      </c>
      <c r="B46" s="14">
        <f>B45/B10</f>
        <v/>
      </c>
      <c r="C46" s="14">
        <f>C45/C10</f>
        <v/>
      </c>
      <c r="D46" s="14">
        <f>D45/D10</f>
        <v/>
      </c>
      <c r="E46" s="14">
        <f>E45/E10</f>
        <v/>
      </c>
      <c r="F46" s="13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1" t="inlineStr">
        <is>
          <t>FLUJO DE CAJA PROYECTADO</t>
        </is>
      </c>
    </row>
    <row r="2">
      <c r="A2" s="2" t="inlineStr">
        <is>
          <t>Proyección 2026-2028 | Vinculado al P&amp;G</t>
        </is>
      </c>
    </row>
    <row r="4">
      <c r="A4" s="12" t="inlineStr">
        <is>
          <t>Concepto</t>
        </is>
      </c>
      <c r="B4" s="12" t="inlineStr">
        <is>
          <t>Año 1 (2026)</t>
        </is>
      </c>
      <c r="C4" s="12" t="inlineStr">
        <is>
          <t>Año 2 (2027)</t>
        </is>
      </c>
      <c r="D4" s="12" t="inlineStr">
        <is>
          <t>Año 3 (2028)</t>
        </is>
      </c>
      <c r="E4" s="12" t="inlineStr">
        <is>
          <t>Total 3 Años</t>
        </is>
      </c>
      <c r="F4" s="12" t="inlineStr">
        <is>
          <t>Notas</t>
        </is>
      </c>
    </row>
    <row r="5">
      <c r="A5" s="8" t="inlineStr">
        <is>
          <t>SALDO INICIAL</t>
        </is>
      </c>
      <c r="B5" s="8" t="n">
        <v>50000</v>
      </c>
      <c r="C5" s="8">
        <f>E6</f>
        <v/>
      </c>
      <c r="D5" s="8">
        <f>E7</f>
        <v/>
      </c>
      <c r="E5" s="8" t="inlineStr"/>
      <c r="F5" s="8" t="inlineStr">
        <is>
          <t>Capital inicial</t>
        </is>
      </c>
    </row>
    <row r="6">
      <c r="A6" s="5" t="inlineStr"/>
      <c r="B6" s="5" t="inlineStr"/>
      <c r="C6" s="5" t="inlineStr"/>
      <c r="D6" s="5" t="inlineStr"/>
      <c r="E6" s="5" t="inlineStr"/>
      <c r="F6" s="5" t="inlineStr"/>
    </row>
    <row r="7">
      <c r="A7" s="11" t="inlineStr">
        <is>
          <t>ENTRADAS DE EFECTIVO</t>
        </is>
      </c>
      <c r="B7" s="11" t="inlineStr"/>
      <c r="C7" s="11" t="inlineStr"/>
      <c r="D7" s="11" t="inlineStr"/>
      <c r="E7" s="11" t="inlineStr"/>
      <c r="F7" s="11" t="inlineStr"/>
    </row>
    <row r="8">
      <c r="A8" s="5" t="inlineStr">
        <is>
          <t>Cobros por Ventas (95% contado)</t>
        </is>
      </c>
      <c r="B8" s="7">
        <f>'4. P&amp;G Consolidado'!B10*0.95</f>
        <v/>
      </c>
      <c r="C8" s="7">
        <f>'4. P&amp;G Consolidado'!C10*0.95</f>
        <v/>
      </c>
      <c r="D8" s="7">
        <f>'4. P&amp;G Consolidado'!D10*0.95</f>
        <v/>
      </c>
      <c r="E8" s="7">
        <f>SUM(B9:D9)</f>
        <v/>
      </c>
      <c r="F8" s="5" t="inlineStr"/>
    </row>
    <row r="9">
      <c r="A9" s="5" t="inlineStr">
        <is>
          <t>Cobros Cartera Año Anterior</t>
        </is>
      </c>
      <c r="B9" s="5" t="n">
        <v>0</v>
      </c>
      <c r="C9" s="7">
        <f>'4. P&amp;G Consolidado'!B10*0.05</f>
        <v/>
      </c>
      <c r="D9" s="7">
        <f>'4. P&amp;G Consolidado'!C10*0.05</f>
        <v/>
      </c>
      <c r="E9" s="7">
        <f>SUM(B10:D10)</f>
        <v/>
      </c>
      <c r="F9" s="5" t="inlineStr">
        <is>
          <t>5% a 30 días</t>
        </is>
      </c>
    </row>
    <row r="10">
      <c r="A10" s="8" t="inlineStr">
        <is>
          <t>TOTAL ENTRADAS</t>
        </is>
      </c>
      <c r="B10" s="8">
        <f>B9+B10</f>
        <v/>
      </c>
      <c r="C10" s="8">
        <f>C9+C10</f>
        <v/>
      </c>
      <c r="D10" s="8">
        <f>D9+D10</f>
        <v/>
      </c>
      <c r="E10" s="8">
        <f>SUM(B11:D11)</f>
        <v/>
      </c>
      <c r="F10" s="8" t="inlineStr"/>
    </row>
    <row r="11">
      <c r="A11" s="5" t="inlineStr"/>
      <c r="B11" s="5" t="inlineStr"/>
      <c r="C11" s="5" t="inlineStr"/>
      <c r="D11" s="5" t="inlineStr"/>
      <c r="E11" s="5" t="inlineStr"/>
      <c r="F11" s="5" t="inlineStr"/>
    </row>
    <row r="12">
      <c r="A12" s="11" t="inlineStr">
        <is>
          <t>SALIDAS DE EFECTIVO</t>
        </is>
      </c>
      <c r="B12" s="11" t="inlineStr"/>
      <c r="C12" s="11" t="inlineStr"/>
      <c r="D12" s="11" t="inlineStr"/>
      <c r="E12" s="11" t="inlineStr"/>
      <c r="F12" s="11" t="inlineStr"/>
    </row>
    <row r="13">
      <c r="A13" s="5" t="inlineStr">
        <is>
          <t>Pago Costos Directos</t>
        </is>
      </c>
      <c r="B13" s="7">
        <f>'4. P&amp;G Consolidado'!B16</f>
        <v/>
      </c>
      <c r="C13" s="7">
        <f>'4. P&amp;G Consolidado'!C16</f>
        <v/>
      </c>
      <c r="D13" s="7">
        <f>'4. P&amp;G Consolidado'!D16</f>
        <v/>
      </c>
      <c r="E13" s="7">
        <f>SUM(B14:D14)</f>
        <v/>
      </c>
      <c r="F13" s="5" t="inlineStr"/>
    </row>
    <row r="14">
      <c r="A14" s="5" t="inlineStr">
        <is>
          <t>Pago Gastos Operativos</t>
        </is>
      </c>
      <c r="B14" s="7">
        <f>'4. P&amp;G Consolidado'!B26</f>
        <v/>
      </c>
      <c r="C14" s="7">
        <f>'4. P&amp;G Consolidado'!C26</f>
        <v/>
      </c>
      <c r="D14" s="7">
        <f>'4. P&amp;G Consolidado'!D26</f>
        <v/>
      </c>
      <c r="E14" s="7">
        <f>SUM(B15:D15)</f>
        <v/>
      </c>
      <c r="F14" s="5" t="inlineStr"/>
    </row>
    <row r="15">
      <c r="A15" s="5" t="inlineStr">
        <is>
          <t>Pago Programa Beat Series</t>
        </is>
      </c>
      <c r="B15" s="7">
        <f>'4. P&amp;G Consolidado'!B31</f>
        <v/>
      </c>
      <c r="C15" s="7">
        <f>'4. P&amp;G Consolidado'!C31</f>
        <v/>
      </c>
      <c r="D15" s="7">
        <f>'4. P&amp;G Consolidado'!D31</f>
        <v/>
      </c>
      <c r="E15" s="7">
        <f>SUM(B16:D16)</f>
        <v/>
      </c>
      <c r="F15" s="5" t="inlineStr"/>
    </row>
    <row r="16">
      <c r="A16" s="5" t="inlineStr">
        <is>
          <t>Pago Impuestos</t>
        </is>
      </c>
      <c r="B16" s="7">
        <f>'4. P&amp;G Consolidado'!B43</f>
        <v/>
      </c>
      <c r="C16" s="7">
        <f>'4. P&amp;G Consolidado'!C43</f>
        <v/>
      </c>
      <c r="D16" s="7">
        <f>'4. P&amp;G Consolidado'!D43</f>
        <v/>
      </c>
      <c r="E16" s="7">
        <f>SUM(B17:D17)</f>
        <v/>
      </c>
      <c r="F16" s="5" t="inlineStr"/>
    </row>
    <row r="17">
      <c r="A17" s="5" t="inlineStr">
        <is>
          <t>CAPEX / Inversiones</t>
        </is>
      </c>
      <c r="B17" s="5" t="n">
        <v>15000</v>
      </c>
      <c r="C17" s="5" t="n">
        <v>20000</v>
      </c>
      <c r="D17" s="5" t="n">
        <v>25000</v>
      </c>
      <c r="E17" s="7">
        <f>SUM(B18:D18)</f>
        <v/>
      </c>
      <c r="F17" s="5" t="inlineStr">
        <is>
          <t>Mejoras planta</t>
        </is>
      </c>
    </row>
    <row r="18">
      <c r="A18" s="8" t="inlineStr">
        <is>
          <t>TOTAL SALIDAS</t>
        </is>
      </c>
      <c r="B18" s="8">
        <f>SUM(B14:B18)</f>
        <v/>
      </c>
      <c r="C18" s="8">
        <f>SUM(C14:C18)</f>
        <v/>
      </c>
      <c r="D18" s="8">
        <f>SUM(D14:D18)</f>
        <v/>
      </c>
      <c r="E18" s="8">
        <f>SUM(B19:D19)</f>
        <v/>
      </c>
      <c r="F18" s="8" t="inlineStr"/>
    </row>
    <row r="19">
      <c r="A19" s="5" t="inlineStr"/>
      <c r="B19" s="5" t="inlineStr"/>
      <c r="C19" s="5" t="inlineStr"/>
      <c r="D19" s="5" t="inlineStr"/>
      <c r="E19" s="5" t="inlineStr"/>
      <c r="F19" s="5" t="inlineStr"/>
    </row>
    <row r="20">
      <c r="A20" s="5" t="inlineStr">
        <is>
          <t>FLUJO NETO DEL PERÍODO</t>
        </is>
      </c>
      <c r="B20" s="7">
        <f>B11-B19</f>
        <v/>
      </c>
      <c r="C20" s="7">
        <f>C11-C19</f>
        <v/>
      </c>
      <c r="D20" s="7">
        <f>D11-D19</f>
        <v/>
      </c>
      <c r="E20" s="7">
        <f>SUM(B21:D21)</f>
        <v/>
      </c>
      <c r="F20" s="5" t="inlineStr"/>
    </row>
    <row r="21">
      <c r="A21" s="5" t="inlineStr"/>
      <c r="B21" s="5" t="inlineStr"/>
      <c r="C21" s="5" t="inlineStr"/>
      <c r="D21" s="5" t="inlineStr"/>
      <c r="E21" s="5" t="inlineStr"/>
      <c r="F21" s="5" t="inlineStr"/>
    </row>
    <row r="22">
      <c r="A22" s="8" t="inlineStr">
        <is>
          <t>SALDO FINAL</t>
        </is>
      </c>
      <c r="B22" s="8">
        <f>B5+B21</f>
        <v/>
      </c>
      <c r="C22" s="8">
        <f>C5+C21</f>
        <v/>
      </c>
      <c r="D22" s="8">
        <f>D5+D21</f>
        <v/>
      </c>
      <c r="E22" s="8">
        <f>D23</f>
        <v/>
      </c>
      <c r="F22" s="8" t="inlineStr"/>
    </row>
    <row r="23">
      <c r="A23" s="5" t="inlineStr"/>
      <c r="B23" s="5" t="inlineStr"/>
      <c r="C23" s="5" t="inlineStr"/>
      <c r="D23" s="5" t="inlineStr"/>
      <c r="E23" s="5" t="inlineStr"/>
      <c r="F23" s="5" t="inlineStr"/>
    </row>
    <row r="24">
      <c r="A24" s="11" t="inlineStr">
        <is>
          <t>VALIDACIÓN</t>
        </is>
      </c>
      <c r="B24" s="11" t="inlineStr"/>
      <c r="C24" s="11" t="inlineStr"/>
      <c r="D24" s="11" t="inlineStr"/>
      <c r="E24" s="11" t="inlineStr"/>
      <c r="F24" s="11" t="inlineStr"/>
    </row>
    <row r="25">
      <c r="A25" s="5" t="inlineStr">
        <is>
          <t>¿Saldo Final Positivo?</t>
        </is>
      </c>
      <c r="B25" s="7">
        <f>IF(B23&gt;0,"✓ SÍ","✗ NO")</f>
        <v/>
      </c>
      <c r="C25" s="7">
        <f>IF(C23&gt;0,"✓ SÍ","✗ NO")</f>
        <v/>
      </c>
      <c r="D25" s="7">
        <f>IF(D23&gt;0,"✓ SÍ","✗ NO")</f>
        <v/>
      </c>
      <c r="E25" s="5" t="inlineStr"/>
      <c r="F25" s="5" t="inlineStr"/>
    </row>
    <row r="26">
      <c r="A26" s="5" t="inlineStr">
        <is>
          <t>Meses de Operación Cubiertos</t>
        </is>
      </c>
      <c r="B26" s="7">
        <f>B23/(B19/12)</f>
        <v/>
      </c>
      <c r="C26" s="7">
        <f>C23/(C19/12)</f>
        <v/>
      </c>
      <c r="D26" s="7">
        <f>D23/(D19/12)</f>
        <v/>
      </c>
      <c r="E26" s="5" t="inlineStr"/>
      <c r="F26" s="5" t="inlineStr">
        <is>
          <t>Runway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</cols>
  <sheetData>
    <row r="1">
      <c r="A1" s="1" t="inlineStr">
        <is>
          <t>DASHBOARD EJECUTIVO - LA PALMA Y EL TUCÁN</t>
        </is>
      </c>
    </row>
    <row r="2">
      <c r="A2" s="2" t="inlineStr">
        <is>
          <t>Resumen de KPIs | Modelo Integrado 2026-2028</t>
        </is>
      </c>
    </row>
    <row r="4">
      <c r="A4" s="10" t="inlineStr">
        <is>
          <t>A. RESUMEN FINANCIERO (USD)</t>
        </is>
      </c>
    </row>
    <row r="5">
      <c r="A5" s="4" t="inlineStr">
        <is>
          <t>Indicador</t>
        </is>
      </c>
      <c r="B5" s="4" t="inlineStr">
        <is>
          <t>Año 1</t>
        </is>
      </c>
      <c r="C5" s="4" t="inlineStr">
        <is>
          <t>Año 2</t>
        </is>
      </c>
      <c r="D5" s="4" t="inlineStr">
        <is>
          <t>Año 3</t>
        </is>
      </c>
      <c r="E5" s="4" t="inlineStr">
        <is>
          <t>Total 3 Años</t>
        </is>
      </c>
      <c r="F5" s="4" t="inlineStr">
        <is>
          <t>CAGR</t>
        </is>
      </c>
      <c r="G5" s="4" t="inlineStr">
        <is>
          <t>Meta</t>
        </is>
      </c>
      <c r="H5" s="4" t="inlineStr">
        <is>
          <t>Status</t>
        </is>
      </c>
    </row>
    <row r="6">
      <c r="A6" s="5" t="inlineStr">
        <is>
          <t>Ingresos Totales</t>
        </is>
      </c>
      <c r="B6" s="7">
        <f>'4. P&amp;G Consolidado'!B10</f>
        <v/>
      </c>
      <c r="C6" s="7">
        <f>'4. P&amp;G Consolidado'!C10</f>
        <v/>
      </c>
      <c r="D6" s="7">
        <f>'4. P&amp;G Consolidado'!D10</f>
        <v/>
      </c>
      <c r="E6" s="7">
        <f>'4. P&amp;G Consolidado'!E10</f>
        <v/>
      </c>
      <c r="F6" s="7">
        <f>((D6/B6)^(1/2))-1</f>
        <v/>
      </c>
      <c r="G6" s="5" t="inlineStr">
        <is>
          <t>&gt;$500k</t>
        </is>
      </c>
      <c r="H6" s="5" t="inlineStr"/>
    </row>
    <row r="7">
      <c r="A7" s="5" t="inlineStr">
        <is>
          <t>Utilidad Bruta</t>
        </is>
      </c>
      <c r="B7" s="7">
        <f>'4. P&amp;G Consolidado'!B18</f>
        <v/>
      </c>
      <c r="C7" s="7">
        <f>'4. P&amp;G Consolidado'!C18</f>
        <v/>
      </c>
      <c r="D7" s="7">
        <f>'4. P&amp;G Consolidado'!D18</f>
        <v/>
      </c>
      <c r="E7" s="7">
        <f>'4. P&amp;G Consolidado'!E18</f>
        <v/>
      </c>
      <c r="F7" s="5" t="inlineStr"/>
      <c r="G7" s="5" t="inlineStr"/>
      <c r="H7" s="5" t="inlineStr"/>
    </row>
    <row r="8">
      <c r="A8" s="5" t="inlineStr">
        <is>
          <t>Margen Bruto %</t>
        </is>
      </c>
      <c r="B8" s="7">
        <f>'4. P&amp;G Consolidado'!B19</f>
        <v/>
      </c>
      <c r="C8" s="7">
        <f>'4. P&amp;G Consolidado'!C19</f>
        <v/>
      </c>
      <c r="D8" s="7">
        <f>'4. P&amp;G Consolidado'!D19</f>
        <v/>
      </c>
      <c r="E8" s="7">
        <f>'4. P&amp;G Consolidado'!E19</f>
        <v/>
      </c>
      <c r="F8" s="5" t="inlineStr"/>
      <c r="G8" s="5" t="inlineStr">
        <is>
          <t>&gt;45%</t>
        </is>
      </c>
      <c r="H8" s="5" t="inlineStr"/>
    </row>
    <row r="9">
      <c r="A9" s="5" t="inlineStr">
        <is>
          <t>EBITDA</t>
        </is>
      </c>
      <c r="B9" s="7">
        <f>'4. P&amp;G Consolidado'!B35</f>
        <v/>
      </c>
      <c r="C9" s="7">
        <f>'4. P&amp;G Consolidado'!C35</f>
        <v/>
      </c>
      <c r="D9" s="7">
        <f>'4. P&amp;G Consolidado'!D35</f>
        <v/>
      </c>
      <c r="E9" s="7">
        <f>'4. P&amp;G Consolidado'!E35</f>
        <v/>
      </c>
      <c r="F9" s="7">
        <f>((D9/B9)^(1/2))-1</f>
        <v/>
      </c>
      <c r="G9" s="5" t="inlineStr">
        <is>
          <t>&gt;$150k</t>
        </is>
      </c>
      <c r="H9" s="5" t="inlineStr"/>
    </row>
    <row r="10">
      <c r="A10" s="5" t="inlineStr">
        <is>
          <t>Margen EBITDA %</t>
        </is>
      </c>
      <c r="B10" s="7">
        <f>'4. P&amp;G Consolidado'!B36</f>
        <v/>
      </c>
      <c r="C10" s="7">
        <f>'4. P&amp;G Consolidado'!C36</f>
        <v/>
      </c>
      <c r="D10" s="7">
        <f>'4. P&amp;G Consolidado'!D36</f>
        <v/>
      </c>
      <c r="E10" s="7">
        <f>'4. P&amp;G Consolidado'!E36</f>
        <v/>
      </c>
      <c r="F10" s="5" t="inlineStr"/>
      <c r="G10" s="5" t="inlineStr">
        <is>
          <t>&gt;25%</t>
        </is>
      </c>
      <c r="H10" s="5" t="inlineStr"/>
    </row>
    <row r="11">
      <c r="A11" s="5" t="inlineStr">
        <is>
          <t>Utilidad Neta</t>
        </is>
      </c>
      <c r="B11" s="7">
        <f>'4. P&amp;G Consolidado'!B45</f>
        <v/>
      </c>
      <c r="C11" s="7">
        <f>'4. P&amp;G Consolidado'!C45</f>
        <v/>
      </c>
      <c r="D11" s="7">
        <f>'4. P&amp;G Consolidado'!D45</f>
        <v/>
      </c>
      <c r="E11" s="7">
        <f>'4. P&amp;G Consolidado'!E45</f>
        <v/>
      </c>
      <c r="F11" s="5" t="inlineStr"/>
      <c r="G11" s="5" t="inlineStr">
        <is>
          <t>&gt;$100k</t>
        </is>
      </c>
      <c r="H11" s="5" t="inlineStr"/>
    </row>
    <row r="12">
      <c r="A12" s="5" t="inlineStr">
        <is>
          <t>Margen Neto %</t>
        </is>
      </c>
      <c r="B12" s="7">
        <f>'4. P&amp;G Consolidado'!B46</f>
        <v/>
      </c>
      <c r="C12" s="7">
        <f>'4. P&amp;G Consolidado'!C46</f>
        <v/>
      </c>
      <c r="D12" s="7">
        <f>'4. P&amp;G Consolidado'!D46</f>
        <v/>
      </c>
      <c r="E12" s="7">
        <f>'4. P&amp;G Consolidado'!E46</f>
        <v/>
      </c>
      <c r="F12" s="5" t="inlineStr"/>
      <c r="G12" s="5" t="inlineStr">
        <is>
          <t>&gt;15%</t>
        </is>
      </c>
      <c r="H12" s="5" t="inlineStr"/>
    </row>
    <row r="13">
      <c r="A13" s="5" t="inlineStr">
        <is>
          <t>Flujo de Caja Final</t>
        </is>
      </c>
      <c r="B13" s="7">
        <f>'5. Flujo de Caja'!B23</f>
        <v/>
      </c>
      <c r="C13" s="7">
        <f>'5. Flujo de Caja'!C23</f>
        <v/>
      </c>
      <c r="D13" s="7">
        <f>'5. Flujo de Caja'!D23</f>
        <v/>
      </c>
      <c r="E13" s="7">
        <f>'5. Flujo de Caja'!E23</f>
        <v/>
      </c>
      <c r="F13" s="5" t="inlineStr"/>
      <c r="G13" s="5" t="inlineStr">
        <is>
          <t>Positivo</t>
        </is>
      </c>
      <c r="H13" s="5" t="inlineStr"/>
    </row>
    <row r="15">
      <c r="A15" s="10" t="inlineStr">
        <is>
          <t>B. VALIDACIÓN DE PRECIOS (Objetivo Crítico)</t>
        </is>
      </c>
    </row>
    <row r="16">
      <c r="A16" s="4" t="inlineStr">
        <is>
          <t>Indicador</t>
        </is>
      </c>
      <c r="B16" s="4" t="inlineStr">
        <is>
          <t>Año 1</t>
        </is>
      </c>
      <c r="C16" s="4" t="inlineStr">
        <is>
          <t>Año 2</t>
        </is>
      </c>
      <c r="D16" s="4" t="inlineStr">
        <is>
          <t>Año 3</t>
        </is>
      </c>
      <c r="E16" s="4" t="inlineStr">
        <is>
          <t>Promedio</t>
        </is>
      </c>
      <c r="F16" s="4" t="inlineStr">
        <is>
          <t>Mínimo</t>
        </is>
      </c>
      <c r="G16" s="4" t="inlineStr">
        <is>
          <t>Meta</t>
        </is>
      </c>
      <c r="H16" s="4" t="inlineStr">
        <is>
          <t>Status</t>
        </is>
      </c>
    </row>
    <row r="17">
      <c r="A17" s="5" t="inlineStr">
        <is>
          <t>Precio Prom. Finca ($/lb)</t>
        </is>
      </c>
      <c r="B17" s="7">
        <f>'2. Ingresos'!B36</f>
        <v/>
      </c>
      <c r="C17" s="7">
        <f>'2. Ingresos'!C36</f>
        <v/>
      </c>
      <c r="D17" s="7">
        <f>'2. Ingresos'!D36</f>
        <v/>
      </c>
      <c r="E17" s="7">
        <f>AVERAGE(B17:D17)</f>
        <v/>
      </c>
      <c r="F17" s="5" t="inlineStr">
        <is>
          <t>$42</t>
        </is>
      </c>
      <c r="G17" s="5" t="inlineStr">
        <is>
          <t>≥$42/lb</t>
        </is>
      </c>
      <c r="H17" s="5">
        <f>IF(E17&gt;=42,"✓","✗")</f>
        <v/>
      </c>
    </row>
    <row r="18">
      <c r="A18" s="5" t="inlineStr">
        <is>
          <t>Precio Prom. Total ($/lb)</t>
        </is>
      </c>
      <c r="B18" s="7">
        <f>'2. Ingresos'!B37</f>
        <v/>
      </c>
      <c r="C18" s="7">
        <f>'2. Ingresos'!C37</f>
        <v/>
      </c>
      <c r="D18" s="7">
        <f>'2. Ingresos'!D37</f>
        <v/>
      </c>
      <c r="E18" s="7">
        <f>AVERAGE(B18:D18)</f>
        <v/>
      </c>
      <c r="F18" s="5" t="inlineStr">
        <is>
          <t>$35</t>
        </is>
      </c>
      <c r="G18" s="5" t="inlineStr">
        <is>
          <t>≥$35/lb</t>
        </is>
      </c>
      <c r="H18" s="5">
        <f>IF(E18&gt;=35,"✓","✗")</f>
        <v/>
      </c>
    </row>
    <row r="19">
      <c r="A19" s="5" t="inlineStr">
        <is>
          <t>% Vol. Beat Series</t>
        </is>
      </c>
      <c r="B19" s="7">
        <f>'2. Ingresos'!B11/'2. Ingresos'!B6</f>
        <v/>
      </c>
      <c r="C19" s="7">
        <f>'2. Ingresos'!C11/'2. Ingresos'!C6</f>
        <v/>
      </c>
      <c r="D19" s="7">
        <f>'2. Ingresos'!D11/'2. Ingresos'!D6</f>
        <v/>
      </c>
      <c r="E19" s="7">
        <f>AVERAGE(B19:D19)</f>
        <v/>
      </c>
      <c r="F19" s="5" t="inlineStr">
        <is>
          <t>15%</t>
        </is>
      </c>
      <c r="G19" s="5" t="inlineStr">
        <is>
          <t>≤15%</t>
        </is>
      </c>
      <c r="H19" s="5">
        <f>IF(E19&lt;=0.15,"✓","✗")</f>
        <v/>
      </c>
    </row>
    <row r="21">
      <c r="A21" s="10" t="inlineStr">
        <is>
          <t>C. PROGRAMA BEAT SERIES - ROI</t>
        </is>
      </c>
    </row>
    <row r="22">
      <c r="A22" s="4" t="inlineStr">
        <is>
          <t>Indicador</t>
        </is>
      </c>
      <c r="B22" s="4" t="inlineStr">
        <is>
          <t>Año 1</t>
        </is>
      </c>
      <c r="C22" s="4" t="inlineStr">
        <is>
          <t>Año 2</t>
        </is>
      </c>
      <c r="D22" s="4" t="inlineStr">
        <is>
          <t>Año 3</t>
        </is>
      </c>
      <c r="E22" s="4" t="inlineStr">
        <is>
          <t>Total</t>
        </is>
      </c>
      <c r="F22" s="4" t="inlineStr">
        <is>
          <t>Benchmark</t>
        </is>
      </c>
      <c r="G22" s="4" t="inlineStr">
        <is>
          <t>Meta</t>
        </is>
      </c>
      <c r="H22" s="4" t="inlineStr">
        <is>
          <t>Status</t>
        </is>
      </c>
    </row>
    <row r="23">
      <c r="A23" s="5" t="inlineStr">
        <is>
          <t>Inversión Total Beat Series</t>
        </is>
      </c>
      <c r="B23" s="7">
        <f>'3. Costos'!B51</f>
        <v/>
      </c>
      <c r="C23" s="7">
        <f>'3. Costos'!C51</f>
        <v/>
      </c>
      <c r="D23" s="7">
        <f>'3. Costos'!D51</f>
        <v/>
      </c>
      <c r="E23" s="7">
        <f>'3. Costos'!E51</f>
        <v/>
      </c>
      <c r="F23" s="5" t="inlineStr"/>
      <c r="G23" s="5" t="inlineStr">
        <is>
          <t>&lt;$25k/año</t>
        </is>
      </c>
      <c r="H23" s="5" t="inlineStr"/>
    </row>
    <row r="24">
      <c r="A24" s="5" t="inlineStr">
        <is>
          <t>% de Ingresos Totales</t>
        </is>
      </c>
      <c r="B24" s="7">
        <f>'3. Costos'!B51/'4. P&amp;G Consolidado'!B10</f>
        <v/>
      </c>
      <c r="C24" s="7">
        <f>'3. Costos'!C51/'4. P&amp;G Consolidado'!C10</f>
        <v/>
      </c>
      <c r="D24" s="7">
        <f>'3. Costos'!D51/'4. P&amp;G Consolidado'!D10</f>
        <v/>
      </c>
      <c r="E24" s="5" t="inlineStr"/>
      <c r="F24" s="5" t="inlineStr">
        <is>
          <t>2-5%</t>
        </is>
      </c>
      <c r="G24" s="5" t="inlineStr">
        <is>
          <t>&lt;5%</t>
        </is>
      </c>
      <c r="H24" s="5" t="inlineStr"/>
    </row>
    <row r="25">
      <c r="A25" s="5" t="inlineStr">
        <is>
          <t>Competidores Patrocinados</t>
        </is>
      </c>
      <c r="B25" s="7">
        <f>'1. Parámetros'!B80+'1. Parámetros'!B85+'1. Parámetros'!B90</f>
        <v/>
      </c>
      <c r="C25" s="7">
        <f>'1. Parámetros'!C80+'1. Parámetros'!C85+'1. Parámetros'!C90</f>
        <v/>
      </c>
      <c r="D25" s="7">
        <f>'1. Parámetros'!D80+'1. Parámetros'!D85+'1. Parámetros'!D90</f>
        <v/>
      </c>
      <c r="E25" s="7">
        <f>SUM(B25:D25)</f>
        <v/>
      </c>
      <c r="F25" s="5" t="inlineStr"/>
      <c r="G25" s="5" t="inlineStr"/>
      <c r="H25" s="5" t="inlineStr"/>
    </row>
    <row r="26">
      <c r="A26" s="5" t="inlineStr">
        <is>
          <t>Volumen Subsidiado (kg)</t>
        </is>
      </c>
      <c r="B26" s="7">
        <f>('1. Parámetros'!B80*'1. Parámetros'!B81)+('1. Parámetros'!B85+'1. Parámetros'!B90)*'1. Parámetros'!B86</f>
        <v/>
      </c>
      <c r="C26" s="7">
        <f>('1. Parámetros'!C80*'1. Parámetros'!C81)+('1. Parámetros'!C85+'1. Parámetros'!C90)*'1. Parámetros'!C86</f>
        <v/>
      </c>
      <c r="D26" s="7">
        <f>('1. Parámetros'!D80*'1. Parámetros'!D81)+('1. Parámetros'!D85+'1. Parámetros'!D90)*'1. Parámetros'!D86</f>
        <v/>
      </c>
      <c r="E26" s="7">
        <f>SUM(B26:D26)</f>
        <v/>
      </c>
      <c r="F26" s="5" t="inlineStr"/>
      <c r="G26" s="5" t="inlineStr"/>
      <c r="H26" s="5" t="inlineStr"/>
    </row>
    <row r="27">
      <c r="A27" s="5" t="inlineStr">
        <is>
          <t>Valor Publicitario Est. (AVE)</t>
        </is>
      </c>
      <c r="B27" s="5" t="n">
        <v>30000</v>
      </c>
      <c r="C27" s="5" t="n">
        <v>45000</v>
      </c>
      <c r="D27" s="5" t="n">
        <v>70000</v>
      </c>
      <c r="E27" s="7">
        <f>SUM(B27:D27)</f>
        <v/>
      </c>
      <c r="F27" s="5" t="inlineStr">
        <is>
          <t>$25-50k</t>
        </is>
      </c>
      <c r="G27" s="5" t="inlineStr">
        <is>
          <t>&gt;$25k</t>
        </is>
      </c>
      <c r="H27" s="5" t="inlineStr"/>
    </row>
    <row r="28">
      <c r="A28" s="5" t="inlineStr">
        <is>
          <t>ROI Estimado (AVE/Inversión)</t>
        </is>
      </c>
      <c r="B28" s="7">
        <f>B27/B23</f>
        <v/>
      </c>
      <c r="C28" s="7">
        <f>C27/C23</f>
        <v/>
      </c>
      <c r="D28" s="7">
        <f>D27/D23</f>
        <v/>
      </c>
      <c r="E28" s="7">
        <f>E27/E23</f>
        <v/>
      </c>
      <c r="F28" s="5" t="inlineStr">
        <is>
          <t>1.5-3x</t>
        </is>
      </c>
      <c r="G28" s="5" t="inlineStr">
        <is>
          <t>&gt;1.5x</t>
        </is>
      </c>
      <c r="H28" s="5" t="inlineStr"/>
    </row>
    <row r="30">
      <c r="A30" s="10" t="inlineStr">
        <is>
          <t>D. PRODUCCIÓN Y VOLUMEN</t>
        </is>
      </c>
    </row>
    <row r="31">
      <c r="A31" s="4" t="inlineStr">
        <is>
          <t>Indicador</t>
        </is>
      </c>
      <c r="B31" s="4" t="inlineStr">
        <is>
          <t>Año 1</t>
        </is>
      </c>
      <c r="C31" s="4" t="inlineStr">
        <is>
          <t>Año 2</t>
        </is>
      </c>
      <c r="D31" s="4" t="inlineStr">
        <is>
          <t>Año 3</t>
        </is>
      </c>
      <c r="E31" s="4" t="inlineStr">
        <is>
          <t>Crecimiento</t>
        </is>
      </c>
      <c r="F31" s="4" t="inlineStr"/>
      <c r="G31" s="4" t="inlineStr"/>
      <c r="H31" s="4" t="inlineStr"/>
    </row>
    <row r="32">
      <c r="A32" s="5" t="inlineStr">
        <is>
          <t>Producción Finca (kg CPS)</t>
        </is>
      </c>
      <c r="B32" s="7">
        <f>'1. Parámetros'!B13</f>
        <v/>
      </c>
      <c r="C32" s="7">
        <f>'1. Parámetros'!C13</f>
        <v/>
      </c>
      <c r="D32" s="7">
        <f>'1. Parámetros'!D13</f>
        <v/>
      </c>
      <c r="E32" s="7">
        <f>(D31-B31)/B31</f>
        <v/>
      </c>
      <c r="F32" s="5" t="inlineStr"/>
      <c r="G32" s="5" t="inlineStr"/>
      <c r="H32" s="5" t="inlineStr"/>
    </row>
    <row r="33">
      <c r="A33" s="5" t="inlineStr">
        <is>
          <t>Volumen N&amp;C (kg CPS)</t>
        </is>
      </c>
      <c r="B33" s="7">
        <f>'1. Parámetros'!B16</f>
        <v/>
      </c>
      <c r="C33" s="7">
        <f>'1. Parámetros'!C16</f>
        <v/>
      </c>
      <c r="D33" s="7">
        <f>'1. Parámetros'!D16</f>
        <v/>
      </c>
      <c r="E33" s="7">
        <f>(D32-B32)/B32</f>
        <v/>
      </c>
      <c r="F33" s="5" t="inlineStr"/>
      <c r="G33" s="5" t="inlineStr"/>
      <c r="H33" s="5" t="inlineStr"/>
    </row>
    <row r="34">
      <c r="A34" s="5" t="inlineStr">
        <is>
          <t>Producción Total (kg CPS)</t>
        </is>
      </c>
      <c r="B34" s="7">
        <f>'1. Parámetros'!B17</f>
        <v/>
      </c>
      <c r="C34" s="7">
        <f>'1. Parámetros'!C17</f>
        <v/>
      </c>
      <c r="D34" s="7">
        <f>'1. Parámetros'!D17</f>
        <v/>
      </c>
      <c r="E34" s="7">
        <f>(D33-B33)/B33</f>
        <v/>
      </c>
      <c r="F34" s="5" t="inlineStr"/>
      <c r="G34" s="5" t="inlineStr"/>
      <c r="H34" s="5" t="inlineStr"/>
    </row>
    <row r="35">
      <c r="A35" s="5" t="inlineStr">
        <is>
          <t>Volumen Total Vendido (lbs)</t>
        </is>
      </c>
      <c r="B35" s="7">
        <f>'2. Ingresos'!B35</f>
        <v/>
      </c>
      <c r="C35" s="7">
        <f>'2. Ingresos'!C35</f>
        <v/>
      </c>
      <c r="D35" s="7">
        <f>'2. Ingresos'!D35</f>
        <v/>
      </c>
      <c r="E35" s="7">
        <f>(D34-B34)/B34</f>
        <v/>
      </c>
      <c r="F35" s="5" t="inlineStr"/>
      <c r="G35" s="5" t="inlineStr"/>
      <c r="H35" s="5" t="inlineStr"/>
    </row>
    <row r="36">
      <c r="A36" s="5" t="inlineStr">
        <is>
          <t>Rendimiento (kg CPS/Ha)</t>
        </is>
      </c>
      <c r="B36" s="7">
        <f>'1. Parámetros'!B12</f>
        <v/>
      </c>
      <c r="C36" s="7">
        <f>'1. Parámetros'!C12</f>
        <v/>
      </c>
      <c r="D36" s="7">
        <f>'1. Parámetros'!D12</f>
        <v/>
      </c>
      <c r="E36" s="5" t="inlineStr"/>
      <c r="F36" s="5" t="inlineStr"/>
      <c r="G36" s="5" t="inlineStr"/>
      <c r="H36" s="5" t="inlineStr"/>
    </row>
    <row r="38">
      <c r="A38" s="10" t="inlineStr">
        <is>
          <t>E. IMPACTO SOCIAL - NEIGHBORS &amp; CROPS</t>
        </is>
      </c>
    </row>
    <row r="39">
      <c r="A39" s="4" t="inlineStr">
        <is>
          <t>Indicador</t>
        </is>
      </c>
      <c r="B39" s="4" t="inlineStr">
        <is>
          <t>Año 1</t>
        </is>
      </c>
      <c r="C39" s="4" t="inlineStr">
        <is>
          <t>Año 2</t>
        </is>
      </c>
      <c r="D39" s="4" t="inlineStr">
        <is>
          <t>Año 3</t>
        </is>
      </c>
      <c r="E39" s="4" t="inlineStr">
        <is>
          <t>Total</t>
        </is>
      </c>
      <c r="F39" s="4" t="inlineStr">
        <is>
          <t>Impacto</t>
        </is>
      </c>
      <c r="G39" s="4" t="inlineStr"/>
      <c r="H39" s="4" t="inlineStr"/>
    </row>
    <row r="40">
      <c r="A40" s="5" t="inlineStr">
        <is>
          <t>Kg Cereza Comprados</t>
        </is>
      </c>
      <c r="B40" s="7">
        <f>'1. Parámetros'!B14</f>
        <v/>
      </c>
      <c r="C40" s="7">
        <f>'1. Parámetros'!C14</f>
        <v/>
      </c>
      <c r="D40" s="7">
        <f>'1. Parámetros'!D14</f>
        <v/>
      </c>
      <c r="E40" s="7">
        <f>SUM(B39:D39)</f>
        <v/>
      </c>
      <c r="F40" s="5" t="inlineStr">
        <is>
          <t>Volumen</t>
        </is>
      </c>
      <c r="G40" s="5" t="inlineStr"/>
      <c r="H40" s="5" t="inlineStr"/>
    </row>
    <row r="41">
      <c r="A41" s="5" t="inlineStr">
        <is>
          <t>Precio Pagado (COP/kg)</t>
        </is>
      </c>
      <c r="B41" s="7">
        <f>'1. Parámetros'!B52</f>
        <v/>
      </c>
      <c r="C41" s="7">
        <f>'1. Parámetros'!C52</f>
        <v/>
      </c>
      <c r="D41" s="7">
        <f>'1. Parámetros'!D52</f>
        <v/>
      </c>
      <c r="E41" s="5" t="inlineStr"/>
      <c r="F41" s="5" t="inlineStr">
        <is>
          <t>vs $3,500 FNC</t>
        </is>
      </c>
      <c r="G41" s="5" t="inlineStr"/>
      <c r="H41" s="5" t="inlineStr"/>
    </row>
    <row r="42">
      <c r="A42" s="5" t="inlineStr">
        <is>
          <t>Prima sobre FNC (%)</t>
        </is>
      </c>
      <c r="B42" s="7">
        <f>(B40-3500)/3500</f>
        <v/>
      </c>
      <c r="C42" s="7">
        <f>(C40-3500)/3500</f>
        <v/>
      </c>
      <c r="D42" s="7">
        <f>(D40-3500)/3500</f>
        <v/>
      </c>
      <c r="E42" s="7">
        <f>AVERAGE(B41:D41)</f>
        <v/>
      </c>
      <c r="F42" s="5" t="inlineStr">
        <is>
          <t>+38% aprox</t>
        </is>
      </c>
      <c r="G42" s="5" t="inlineStr"/>
      <c r="H42" s="5" t="inlineStr"/>
    </row>
    <row r="43">
      <c r="A43" s="5" t="inlineStr">
        <is>
          <t>Inversión Total en Comunidad</t>
        </is>
      </c>
      <c r="B43" s="7">
        <f>B39*B40/4000</f>
        <v/>
      </c>
      <c r="C43" s="7">
        <f>C39*C40/4100</f>
        <v/>
      </c>
      <c r="D43" s="7">
        <f>D39*D40/4200</f>
        <v/>
      </c>
      <c r="E43" s="7">
        <f>SUM(B42:D42)</f>
        <v/>
      </c>
      <c r="F43" s="5" t="inlineStr">
        <is>
          <t>USD</t>
        </is>
      </c>
      <c r="G43" s="5" t="inlineStr"/>
      <c r="H43" s="5" t="inlineStr"/>
    </row>
    <row r="44">
      <c r="A44" s="5" t="inlineStr">
        <is>
          <t>Familias Beneficiadas (Est.)</t>
        </is>
      </c>
      <c r="B44" s="5" t="n">
        <v>45</v>
      </c>
      <c r="C44" s="5" t="n">
        <v>55</v>
      </c>
      <c r="D44" s="5" t="n">
        <v>65</v>
      </c>
      <c r="E44" s="7">
        <f>D43</f>
        <v/>
      </c>
      <c r="F44" s="5" t="inlineStr">
        <is>
          <t>Creciente</t>
        </is>
      </c>
      <c r="G44" s="5" t="inlineStr"/>
      <c r="H44" s="5" t="inlineStr"/>
    </row>
  </sheetData>
  <mergeCells count="7">
    <mergeCell ref="A4:H4"/>
    <mergeCell ref="A21:H21"/>
    <mergeCell ref="A30:H30"/>
    <mergeCell ref="A15:H15"/>
    <mergeCell ref="A38:H38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2025-11-29T16:59:53Z</dcterms:created>
  <dcterms:modified xsi:type="dcterms:W3CDTF">2025-11-29T17:05:50Z</dcterms:modified>
</cp:coreProperties>
</file>