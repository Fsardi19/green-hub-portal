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" sheetId="1" state="visible" r:id="rId3"/>
    <sheet name="P&amp;G" sheetId="2" state="visible" r:id="rId4"/>
    <sheet name="Flujo de Caja" sheetId="3" state="visible" r:id="rId5"/>
    <sheet name="Rentabilidad" sheetId="4" state="visible" r:id="rId6"/>
    <sheet name="Dashboar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<sst xmlns="http://schemas.openxmlformats.org/spreadsheetml/2006/main" count="276" uniqueCount="195">
  <si>
    <t xml:space="preserve">MODELO FINANCIERO LA PALMA Y EL TUCÁN - 2026</t>
  </si>
  <si>
    <t xml:space="preserve">HOJA DE SUPUESTOS Y VARIABLES</t>
  </si>
  <si>
    <t xml:space="preserve">VARIABLES MACROECONÓMICAS</t>
  </si>
  <si>
    <t xml:space="preserve">Variable</t>
  </si>
  <si>
    <t xml:space="preserve">Valor</t>
  </si>
  <si>
    <t xml:space="preserve">Unidad</t>
  </si>
  <si>
    <t xml:space="preserve">Notas</t>
  </si>
  <si>
    <t xml:space="preserve">Tipo de cambio USD/COP</t>
  </si>
  <si>
    <t xml:space="preserve">COP/USD</t>
  </si>
  <si>
    <t xml:space="preserve">Supuesto base</t>
  </si>
  <si>
    <t xml:space="preserve">Inflación Colombia</t>
  </si>
  <si>
    <t xml:space="preserve">%</t>
  </si>
  <si>
    <t xml:space="preserve">Estimado 2026</t>
  </si>
  <si>
    <t xml:space="preserve">Inflación USA</t>
  </si>
  <si>
    <t xml:space="preserve">1. CAFÉ VERDE - VENTA DIRECTA</t>
  </si>
  <si>
    <t xml:space="preserve">Cajas proyectadas (12.5 kg c/u)</t>
  </si>
  <si>
    <t xml:space="preserve">cajas</t>
  </si>
  <si>
    <t xml:space="preserve">Proyección 2026</t>
  </si>
  <si>
    <t xml:space="preserve">Kg por caja</t>
  </si>
  <si>
    <t xml:space="preserve">kg</t>
  </si>
  <si>
    <t xml:space="preserve">Estándar</t>
  </si>
  <si>
    <t xml:space="preserve">Conversión kg a libras</t>
  </si>
  <si>
    <t xml:space="preserve">lb/kg</t>
  </si>
  <si>
    <t xml:space="preserve">Fijo</t>
  </si>
  <si>
    <t xml:space="preserve">Precio venta por libra</t>
  </si>
  <si>
    <t xml:space="preserve">USD/lb</t>
  </si>
  <si>
    <t xml:space="preserve">Objetivo mínimo</t>
  </si>
  <si>
    <t xml:space="preserve">Costo producción por libra</t>
  </si>
  <si>
    <t xml:space="preserve">Costo directo</t>
  </si>
  <si>
    <t xml:space="preserve">Gastos admin y logísticos</t>
  </si>
  <si>
    <t xml:space="preserve">USD/año</t>
  </si>
  <si>
    <t xml:space="preserve">Estimado</t>
  </si>
  <si>
    <t xml:space="preserve">2. CAFÉ VERDE - NEIGHBORS &amp; CROPS</t>
  </si>
  <si>
    <t xml:space="preserve">Sacos proyectados (77 lb c/u)</t>
  </si>
  <si>
    <t xml:space="preserve">sacos</t>
  </si>
  <si>
    <t xml:space="preserve">Libras por saco</t>
  </si>
  <si>
    <t xml:space="preserve">lb</t>
  </si>
  <si>
    <t xml:space="preserve">Precio vecinos</t>
  </si>
  <si>
    <t xml:space="preserve">Costo adquisición por libra</t>
  </si>
  <si>
    <t xml:space="preserve">Bourbon rosado</t>
  </si>
  <si>
    <t xml:space="preserve">Gastos admin adicionales</t>
  </si>
  <si>
    <t xml:space="preserve">3. CAFÉ TOSTADO</t>
  </si>
  <si>
    <t xml:space="preserve">Cajas varietales propios (12.5 kg)</t>
  </si>
  <si>
    <t xml:space="preserve">Inventario disponible</t>
  </si>
  <si>
    <t xml:space="preserve">Pérdida por tostión</t>
  </si>
  <si>
    <t xml:space="preserve">20% del peso</t>
  </si>
  <si>
    <t xml:space="preserve">Precio promedio tostado</t>
  </si>
  <si>
    <t xml:space="preserve">Equivalente tostado</t>
  </si>
  <si>
    <t xml:space="preserve">Margen B2C objetivo</t>
  </si>
  <si>
    <t xml:space="preserve">65%</t>
  </si>
  <si>
    <t xml:space="preserve">Margen B2B objetivo</t>
  </si>
  <si>
    <t xml:space="preserve">40%</t>
  </si>
  <si>
    <t xml:space="preserve">Margen promedio ponderado</t>
  </si>
  <si>
    <t xml:space="preserve">35% combinado</t>
  </si>
  <si>
    <t xml:space="preserve">Ventas adicionales blends B2B</t>
  </si>
  <si>
    <t xml:space="preserve">USD</t>
  </si>
  <si>
    <t xml:space="preserve">Proyección</t>
  </si>
  <si>
    <t xml:space="preserve">Costo materia prima varietal</t>
  </si>
  <si>
    <t xml:space="preserve">USD/kg</t>
  </si>
  <si>
    <t xml:space="preserve">$43,000 COP</t>
  </si>
  <si>
    <t xml:space="preserve">Costo empaque por kg</t>
  </si>
  <si>
    <t xml:space="preserve">Bolsa+válvula+etiqueta</t>
  </si>
  <si>
    <t xml:space="preserve">Costo logística interna por kg</t>
  </si>
  <si>
    <t xml:space="preserve">MO + logística</t>
  </si>
  <si>
    <t xml:space="preserve">4. CRAFT LAB</t>
  </si>
  <si>
    <t xml:space="preserve">Clientes proyectados</t>
  </si>
  <si>
    <t xml:space="preserve">clientes</t>
  </si>
  <si>
    <t xml:space="preserve">Prueba piloto</t>
  </si>
  <si>
    <t xml:space="preserve">Cajas por cliente</t>
  </si>
  <si>
    <t xml:space="preserve">12.5 kg c/u</t>
  </si>
  <si>
    <t xml:space="preserve">Precio servicio por cliente</t>
  </si>
  <si>
    <t xml:space="preserve">Incluye experiencia</t>
  </si>
  <si>
    <t xml:space="preserve">Precio equivalente por libra</t>
  </si>
  <si>
    <t xml:space="preserve">Referencia</t>
  </si>
  <si>
    <t xml:space="preserve">Costo producción (cajas dobles)</t>
  </si>
  <si>
    <t xml:space="preserve">Se producen 20 para entregar 10</t>
  </si>
  <si>
    <t xml:space="preserve">5. COSTOS FIJOS MENSUALES</t>
  </si>
  <si>
    <t xml:space="preserve">Contraprestación BloomsPal (COP)</t>
  </si>
  <si>
    <t xml:space="preserve">COP/mes</t>
  </si>
  <si>
    <t xml:space="preserve">Sin IVA</t>
  </si>
  <si>
    <t xml:space="preserve">IVA BloomsPal</t>
  </si>
  <si>
    <t xml:space="preserve">19%</t>
  </si>
  <si>
    <t xml:space="preserve">Nómina administrativa</t>
  </si>
  <si>
    <t xml:space="preserve">USD/mes</t>
  </si>
  <si>
    <t xml:space="preserve">Servicios y operación</t>
  </si>
  <si>
    <t xml:space="preserve">Marketing y ventas</t>
  </si>
  <si>
    <t xml:space="preserve">Comisión comercial B2B</t>
  </si>
  <si>
    <t xml:space="preserve">5% si BloomsPal vincula cliente</t>
  </si>
  <si>
    <t xml:space="preserve">Comisión logística variable</t>
  </si>
  <si>
    <t xml:space="preserve">7.5%</t>
  </si>
  <si>
    <t xml:space="preserve">6. LOGÍSTICA INTERNACIONAL (USD)</t>
  </si>
  <si>
    <t xml:space="preserve">Costo envío B2C (fijo por dirección)</t>
  </si>
  <si>
    <t xml:space="preserve">Base</t>
  </si>
  <si>
    <t xml:space="preserve">Costo envío B2C (por kg)</t>
  </si>
  <si>
    <t xml:space="preserve">Costo envío B2B (≥60kg) por libra</t>
  </si>
  <si>
    <t xml:space="preserve">Exportación formal</t>
  </si>
  <si>
    <t xml:space="preserve">Umbral envío gratis B2C</t>
  </si>
  <si>
    <t xml:space="preserve">Pedidos sobre este monto</t>
  </si>
  <si>
    <t xml:space="preserve">Umbral envío gratis B2B</t>
  </si>
  <si>
    <t xml:space="preserve">Pedidos sobre este peso</t>
  </si>
  <si>
    <t xml:space="preserve">ESTADO DE PÉRDIDAS Y GANANCIAS 2026</t>
  </si>
  <si>
    <t xml:space="preserve">Concepto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</si>
  <si>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</si>
  <si>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</si>
  <si>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</si>
  <si>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</si>
  <si>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</si>
  <si>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</si>
  <si>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</si>
  <si>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</si>
  <si>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</si>
  <si>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</si>
  <si>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</si>
  <si>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</si>
  <si>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</si>
  <si>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INGRESOS</t>
  </si>
  <si>
    <t xml:space="preserve">  Café Verde - Venta Directa</t>
  </si>
  <si>
    <t xml:space="preserve">  Café Verde - Neighbors &amp; Crops</t>
  </si>
  <si>
    <t xml:space="preserve">  Café Tostado - Varietales</t>
  </si>
  <si>
    <t xml:space="preserve">  Café Tostado - Blends/B2B</t>
  </si>
  <si>
    <t xml:space="preserve">  Craft Lab</t>
  </si>
  <si>
    <t xml:space="preserve">TOTAL INGRESOS</t>
  </si>
  <si>
    <t xml:space="preserve">COSTOS DIRECTOS</t>
  </si>
  <si>
    <t xml:space="preserve">  Costo Café Verde - Venta Directa</t>
  </si>
  <si>
    <t xml:space="preserve">  Costo Café Verde - Neighbors</t>
  </si>
  <si>
    <t xml:space="preserve">  Costo Tostado - Materia Prima</t>
  </si>
  <si>
    <t xml:space="preserve">  Costo Empaque y Logística Tostado</t>
  </si>
  <si>
    <t xml:space="preserve">  Costo Craft Lab</t>
  </si>
  <si>
    <t xml:space="preserve">TOTAL COSTOS DIRECTOS</t>
  </si>
  <si>
    <t xml:space="preserve">UTILIDAD BRUTA</t>
  </si>
  <si>
    <t xml:space="preserve">  Margen Bruto %</t>
  </si>
  <si>
    <t xml:space="preserve">GASTOS OPERATIVOS</t>
  </si>
  <si>
    <t xml:space="preserve">  Gastos Admin Café Verde</t>
  </si>
  <si>
    <t xml:space="preserve">  Contraprestación BloomsPal</t>
  </si>
  <si>
    <t xml:space="preserve">  Nómina Administrativa</t>
  </si>
  <si>
    <t xml:space="preserve">  Servicios y Operación</t>
  </si>
  <si>
    <t xml:space="preserve">  Marketing y Ventas</t>
  </si>
  <si>
    <t xml:space="preserve">  Comisiones Variables (5% B2B)</t>
  </si>
  <si>
    <t xml:space="preserve">TOTAL GASTOS OPERATIVOS</t>
  </si>
  <si>
    <t xml:space="preserve">EBITDA</t>
  </si>
  <si>
    <t xml:space="preserve">  Margen EBITDA %</t>
  </si>
  <si>
    <t xml:space="preserve">  Depreciación</t>
  </si>
  <si>
    <t xml:space="preserve">UTILIDAD OPERATIVA (EBIT)</t>
  </si>
  <si>
    <t xml:space="preserve">FLUJO DE CAJA PROYECTADO 2026</t>
  </si>
  <si>
    <t xml:space="preserve">Saldo Inicial</t>
  </si>
  <si>
    <t xml:space="preserve">ENTRADAS DE EFECTIVO</t>
  </si>
  <si>
    <t xml:space="preserve">  Cobros Ventas (90% contado)</t>
  </si>
  <si>
    <t xml:space="preserve">  Cobros Ventas (10% mes ant.)</t>
  </si>
  <si>
    <t xml:space="preserve">TOTAL ENTRADAS</t>
  </si>
  <si>
    <t xml:space="preserve">SALIDAS DE EFECTIVO</t>
  </si>
  <si>
    <t xml:space="preserve">  Pago Costos Directos</t>
  </si>
  <si>
    <t xml:space="preserve">  Pago Gastos Operativos</t>
  </si>
  <si>
    <t xml:space="preserve">  CAPEX / Inversiones</t>
  </si>
  <si>
    <t xml:space="preserve">TOTAL SALIDAS</t>
  </si>
  <si>
    <t xml:space="preserve">FLUJO NETO DEL PERÍODO</t>
  </si>
  <si>
    <t xml:space="preserve">ANÁLISIS DE RENTABILIDAD POR LÍNEA DE NEGOCIO</t>
  </si>
  <si>
    <t xml:space="preserve">Línea de Negocio</t>
  </si>
  <si>
    <t xml:space="preserve">Ingresos USD</t>
  </si>
  <si>
    <t xml:space="preserve">Costos USD</t>
  </si>
  <si>
    <t xml:space="preserve">Utilidad Bruta</t>
  </si>
  <si>
    <t xml:space="preserve">Margen %</t>
  </si>
  <si>
    <t xml:space="preserve">Libras Vendidas</t>
  </si>
  <si>
    <t xml:space="preserve">Precio/Lb USD</t>
  </si>
  <si>
    <t xml:space="preserve">Café Verde - Venta Directa</t>
  </si>
  <si>
    <t xml:space="preserve">Café Verde - Neighbors &amp; Crops</t>
  </si>
  <si>
    <t xml:space="preserve">Café Tostado - Varietales</t>
  </si>
  <si>
    <t xml:space="preserve">Café Tostado - Blends/B2B</t>
  </si>
  <si>
    <t xml:space="preserve">Craft Lab</t>
  </si>
  <si>
    <t xml:space="preserve">KPIs CLAVE</t>
  </si>
  <si>
    <t xml:space="preserve">Precio Promedio por Libra (Objetivo ≥$42)</t>
  </si>
  <si>
    <t xml:space="preserve">EBITDA Anual (Objetivo ≥$100,000)</t>
  </si>
  <si>
    <t xml:space="preserve">Margen EBITDA %</t>
  </si>
  <si>
    <t xml:space="preserve">Total Libras Vendidas</t>
  </si>
  <si>
    <t xml:space="preserve">DASHBOARD EJECUTIVO - LA PALMA Y EL TUCÁN 2026</t>
  </si>
  <si>
    <t xml:space="preserve">RESUMEN EJECUTIVO</t>
  </si>
  <si>
    <t xml:space="preserve">Ingresos Totales 2026</t>
  </si>
  <si>
    <t xml:space="preserve">Costos Directos</t>
  </si>
  <si>
    <t xml:space="preserve">Margen Bruto %</t>
  </si>
  <si>
    <t xml:space="preserve">Gastos Operativos</t>
  </si>
  <si>
    <t xml:space="preserve">Utilidad Operativa (EBIT)</t>
  </si>
  <si>
    <t xml:space="preserve">DESGLOSE POR LÍNEA DE NEGOCIO</t>
  </si>
  <si>
    <t xml:space="preserve">Línea</t>
  </si>
  <si>
    <t xml:space="preserve">Ingresos</t>
  </si>
  <si>
    <t xml:space="preserve">% del Total</t>
  </si>
  <si>
    <t xml:space="preserve">Margen</t>
  </si>
  <si>
    <t xml:space="preserve">Café Verde - Neighbors</t>
  </si>
  <si>
    <t xml:space="preserve">Café Tostado - Blends</t>
  </si>
  <si>
    <t xml:space="preserve">VALIDACIÓN DE OBJETIVOS</t>
  </si>
  <si>
    <t xml:space="preserve">Objetivo</t>
  </si>
  <si>
    <t xml:space="preserve">Meta</t>
  </si>
  <si>
    <t xml:space="preserve">Resultado</t>
  </si>
  <si>
    <t xml:space="preserve">Cumple</t>
  </si>
  <si>
    <t xml:space="preserve">Precio Promedio ≥ $42/lb</t>
  </si>
  <si>
    <t xml:space="preserve">EBITDA ≥ $100,000</t>
  </si>
  <si>
    <t xml:space="preserve">Margen Bruto ≥ 60%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</si>
</sst>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"/>
    <numFmt numFmtId="166" formatCode="0.0%"/>
    <numFmt numFmtId="167" formatCode="General"/>
    <numFmt numFmtId="168" formatCode="\$#,##0.00"/>
    <numFmt numFmtId="169" formatCode="#,##0"/>
    <numFmt numFmtId="170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4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D6DCE5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6DCE5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4" min="4" style="0" width="25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7</v>
      </c>
      <c r="B6" s="6" t="n">
        <v>4000</v>
      </c>
      <c r="C6" s="5" t="s">
        <v>8</v>
      </c>
      <c r="D6" s="5" t="s">
        <v>9</v>
      </c>
    </row>
    <row r="7" customFormat="false" ht="15" hidden="false" customHeight="false" outlineLevel="0" collapsed="false">
      <c r="A7" s="5" t="s">
        <v>10</v>
      </c>
      <c r="B7" s="6" t="n">
        <v>0.06</v>
      </c>
      <c r="C7" s="5" t="s">
        <v>11</v>
      </c>
      <c r="D7" s="5" t="s">
        <v>12</v>
      </c>
    </row>
    <row r="8" customFormat="false" ht="15" hidden="false" customHeight="false" outlineLevel="0" collapsed="false">
      <c r="A8" s="5" t="s">
        <v>13</v>
      </c>
      <c r="B8" s="6" t="n">
        <v>0.03</v>
      </c>
      <c r="C8" s="5" t="s">
        <v>11</v>
      </c>
      <c r="D8" s="5" t="s">
        <v>12</v>
      </c>
    </row>
    <row r="10" customFormat="false" ht="15" hidden="false" customHeight="false" outlineLevel="0" collapsed="false">
      <c r="A10" s="3" t="s">
        <v>14</v>
      </c>
      <c r="B10" s="3"/>
      <c r="C10" s="3"/>
      <c r="D10" s="3"/>
    </row>
    <row r="11" customFormat="false" ht="15" hidden="false" customHeight="false" outlineLevel="0" collapsed="false">
      <c r="A11" s="4" t="s">
        <v>3</v>
      </c>
      <c r="B11" s="4" t="s">
        <v>4</v>
      </c>
      <c r="C11" s="4" t="s">
        <v>5</v>
      </c>
      <c r="D11" s="4" t="s">
        <v>6</v>
      </c>
    </row>
    <row r="12" customFormat="false" ht="15" hidden="false" customHeight="false" outlineLevel="0" collapsed="false">
      <c r="A12" s="5" t="s">
        <v>15</v>
      </c>
      <c r="B12" s="6" t="n">
        <v>150</v>
      </c>
      <c r="C12" s="5" t="s">
        <v>16</v>
      </c>
      <c r="D12" s="5" t="s">
        <v>17</v>
      </c>
    </row>
    <row r="13" customFormat="false" ht="15" hidden="false" customHeight="false" outlineLevel="0" collapsed="false">
      <c r="A13" s="5" t="s">
        <v>18</v>
      </c>
      <c r="B13" s="6" t="n">
        <v>12.5</v>
      </c>
      <c r="C13" s="5" t="s">
        <v>19</v>
      </c>
      <c r="D13" s="5" t="s">
        <v>20</v>
      </c>
    </row>
    <row r="14" customFormat="false" ht="15" hidden="false" customHeight="false" outlineLevel="0" collapsed="false">
      <c r="A14" s="5" t="s">
        <v>21</v>
      </c>
      <c r="B14" s="6" t="n">
        <v>2.2046</v>
      </c>
      <c r="C14" s="5" t="s">
        <v>22</v>
      </c>
      <c r="D14" s="5" t="s">
        <v>23</v>
      </c>
    </row>
    <row r="15" customFormat="false" ht="15" hidden="false" customHeight="false" outlineLevel="0" collapsed="false">
      <c r="A15" s="5" t="s">
        <v>24</v>
      </c>
      <c r="B15" s="6" t="n">
        <v>42</v>
      </c>
      <c r="C15" s="5" t="s">
        <v>25</v>
      </c>
      <c r="D15" s="5" t="s">
        <v>26</v>
      </c>
    </row>
    <row r="16" customFormat="false" ht="15" hidden="false" customHeight="false" outlineLevel="0" collapsed="false">
      <c r="A16" s="5" t="s">
        <v>27</v>
      </c>
      <c r="B16" s="6" t="n">
        <v>12</v>
      </c>
      <c r="C16" s="5" t="s">
        <v>25</v>
      </c>
      <c r="D16" s="5" t="s">
        <v>28</v>
      </c>
    </row>
    <row r="17" customFormat="false" ht="15" hidden="false" customHeight="false" outlineLevel="0" collapsed="false">
      <c r="A17" s="5" t="s">
        <v>29</v>
      </c>
      <c r="B17" s="6" t="n">
        <v>50000</v>
      </c>
      <c r="C17" s="5" t="s">
        <v>30</v>
      </c>
      <c r="D17" s="5" t="s">
        <v>31</v>
      </c>
    </row>
    <row r="20" customFormat="false" ht="15" hidden="false" customHeight="false" outlineLevel="0" collapsed="false">
      <c r="A20" s="3" t="s">
        <v>32</v>
      </c>
      <c r="B20" s="3"/>
      <c r="C20" s="3"/>
      <c r="D20" s="3"/>
    </row>
    <row r="21" customFormat="false" ht="15" hidden="false" customHeight="false" outlineLevel="0" collapsed="false">
      <c r="A21" s="4" t="s">
        <v>3</v>
      </c>
      <c r="B21" s="4" t="s">
        <v>4</v>
      </c>
      <c r="C21" s="4" t="s">
        <v>5</v>
      </c>
      <c r="D21" s="4" t="s">
        <v>6</v>
      </c>
    </row>
    <row r="22" customFormat="false" ht="15" hidden="false" customHeight="false" outlineLevel="0" collapsed="false">
      <c r="A22" s="5" t="s">
        <v>33</v>
      </c>
      <c r="B22" s="6" t="n">
        <v>400</v>
      </c>
      <c r="C22" s="5" t="s">
        <v>34</v>
      </c>
      <c r="D22" s="5" t="s">
        <v>17</v>
      </c>
    </row>
    <row r="23" customFormat="false" ht="15" hidden="false" customHeight="false" outlineLevel="0" collapsed="false">
      <c r="A23" s="5" t="s">
        <v>35</v>
      </c>
      <c r="B23" s="6" t="n">
        <v>77</v>
      </c>
      <c r="C23" s="5" t="s">
        <v>36</v>
      </c>
      <c r="D23" s="5" t="s">
        <v>20</v>
      </c>
    </row>
    <row r="24" customFormat="false" ht="15" hidden="false" customHeight="false" outlineLevel="0" collapsed="false">
      <c r="A24" s="5" t="s">
        <v>24</v>
      </c>
      <c r="B24" s="6" t="n">
        <v>8</v>
      </c>
      <c r="C24" s="5" t="s">
        <v>25</v>
      </c>
      <c r="D24" s="5" t="s">
        <v>37</v>
      </c>
    </row>
    <row r="25" customFormat="false" ht="15" hidden="false" customHeight="false" outlineLevel="0" collapsed="false">
      <c r="A25" s="5" t="s">
        <v>38</v>
      </c>
      <c r="B25" s="6" t="n">
        <v>5.5</v>
      </c>
      <c r="C25" s="5" t="s">
        <v>25</v>
      </c>
      <c r="D25" s="5" t="s">
        <v>39</v>
      </c>
    </row>
    <row r="26" customFormat="false" ht="15" hidden="false" customHeight="false" outlineLevel="0" collapsed="false">
      <c r="A26" s="5" t="s">
        <v>40</v>
      </c>
      <c r="B26" s="6" t="n">
        <v>27000</v>
      </c>
      <c r="C26" s="5" t="s">
        <v>30</v>
      </c>
      <c r="D26" s="5" t="s">
        <v>31</v>
      </c>
    </row>
    <row r="29" customFormat="false" ht="15" hidden="false" customHeight="false" outlineLevel="0" collapsed="false">
      <c r="A29" s="3" t="s">
        <v>41</v>
      </c>
      <c r="B29" s="3"/>
      <c r="C29" s="3"/>
      <c r="D29" s="3"/>
    </row>
    <row r="30" customFormat="false" ht="15" hidden="false" customHeight="false" outlineLevel="0" collapsed="false">
      <c r="A30" s="4" t="s">
        <v>3</v>
      </c>
      <c r="B30" s="4" t="s">
        <v>4</v>
      </c>
      <c r="C30" s="4" t="s">
        <v>5</v>
      </c>
      <c r="D30" s="4" t="s">
        <v>6</v>
      </c>
    </row>
    <row r="31" customFormat="false" ht="15" hidden="false" customHeight="false" outlineLevel="0" collapsed="false">
      <c r="A31" s="5" t="s">
        <v>42</v>
      </c>
      <c r="B31" s="6" t="n">
        <v>50</v>
      </c>
      <c r="C31" s="5" t="s">
        <v>16</v>
      </c>
      <c r="D31" s="5" t="s">
        <v>43</v>
      </c>
    </row>
    <row r="32" customFormat="false" ht="15" hidden="false" customHeight="false" outlineLevel="0" collapsed="false">
      <c r="A32" s="5" t="s">
        <v>44</v>
      </c>
      <c r="B32" s="6" t="n">
        <v>0.2</v>
      </c>
      <c r="C32" s="5" t="s">
        <v>11</v>
      </c>
      <c r="D32" s="5" t="s">
        <v>45</v>
      </c>
    </row>
    <row r="33" customFormat="false" ht="15" hidden="false" customHeight="false" outlineLevel="0" collapsed="false">
      <c r="A33" s="5" t="s">
        <v>46</v>
      </c>
      <c r="B33" s="6" t="n">
        <v>55</v>
      </c>
      <c r="C33" s="5" t="s">
        <v>25</v>
      </c>
      <c r="D33" s="5" t="s">
        <v>47</v>
      </c>
    </row>
    <row r="34" customFormat="false" ht="15" hidden="false" customHeight="false" outlineLevel="0" collapsed="false">
      <c r="A34" s="5" t="s">
        <v>48</v>
      </c>
      <c r="B34" s="6" t="n">
        <v>0.65</v>
      </c>
      <c r="C34" s="5" t="s">
        <v>11</v>
      </c>
      <c r="D34" s="5" t="s">
        <v>49</v>
      </c>
    </row>
    <row r="35" customFormat="false" ht="15" hidden="false" customHeight="false" outlineLevel="0" collapsed="false">
      <c r="A35" s="5" t="s">
        <v>50</v>
      </c>
      <c r="B35" s="6" t="n">
        <v>0.4</v>
      </c>
      <c r="C35" s="5" t="s">
        <v>11</v>
      </c>
      <c r="D35" s="5" t="s">
        <v>51</v>
      </c>
    </row>
    <row r="36" customFormat="false" ht="15" hidden="false" customHeight="false" outlineLevel="0" collapsed="false">
      <c r="A36" s="5" t="s">
        <v>52</v>
      </c>
      <c r="B36" s="6" t="n">
        <v>0.35</v>
      </c>
      <c r="C36" s="5" t="s">
        <v>11</v>
      </c>
      <c r="D36" s="5" t="s">
        <v>53</v>
      </c>
    </row>
    <row r="37" customFormat="false" ht="15" hidden="false" customHeight="false" outlineLevel="0" collapsed="false">
      <c r="A37" s="5" t="s">
        <v>54</v>
      </c>
      <c r="B37" s="6" t="n">
        <v>100000</v>
      </c>
      <c r="C37" s="5" t="s">
        <v>55</v>
      </c>
      <c r="D37" s="5" t="s">
        <v>56</v>
      </c>
    </row>
    <row r="38" customFormat="false" ht="15" hidden="false" customHeight="false" outlineLevel="0" collapsed="false">
      <c r="A38" s="5" t="s">
        <v>57</v>
      </c>
      <c r="B38" s="6" t="n">
        <v>10.75</v>
      </c>
      <c r="C38" s="5" t="s">
        <v>58</v>
      </c>
      <c r="D38" s="5" t="s">
        <v>59</v>
      </c>
    </row>
    <row r="39" customFormat="false" ht="15" hidden="false" customHeight="false" outlineLevel="0" collapsed="false">
      <c r="A39" s="5" t="s">
        <v>60</v>
      </c>
      <c r="B39" s="6" t="n">
        <v>2.3</v>
      </c>
      <c r="C39" s="5" t="s">
        <v>58</v>
      </c>
      <c r="D39" s="5" t="s">
        <v>61</v>
      </c>
    </row>
    <row r="40" customFormat="false" ht="15" hidden="false" customHeight="false" outlineLevel="0" collapsed="false">
      <c r="A40" s="5" t="s">
        <v>62</v>
      </c>
      <c r="B40" s="6" t="n">
        <v>0.83</v>
      </c>
      <c r="C40" s="5" t="s">
        <v>58</v>
      </c>
      <c r="D40" s="5" t="s">
        <v>63</v>
      </c>
    </row>
    <row r="43" customFormat="false" ht="15" hidden="false" customHeight="false" outlineLevel="0" collapsed="false">
      <c r="A43" s="3" t="s">
        <v>64</v>
      </c>
      <c r="B43" s="3"/>
      <c r="C43" s="3"/>
      <c r="D43" s="3"/>
    </row>
    <row r="44" customFormat="false" ht="15" hidden="false" customHeight="false" outlineLevel="0" collapsed="false">
      <c r="A44" s="4" t="s">
        <v>3</v>
      </c>
      <c r="B44" s="4" t="s">
        <v>4</v>
      </c>
      <c r="C44" s="4" t="s">
        <v>5</v>
      </c>
      <c r="D44" s="4" t="s">
        <v>6</v>
      </c>
    </row>
    <row r="45" customFormat="false" ht="15" hidden="false" customHeight="false" outlineLevel="0" collapsed="false">
      <c r="A45" s="5" t="s">
        <v>65</v>
      </c>
      <c r="B45" s="6" t="n">
        <v>5</v>
      </c>
      <c r="C45" s="5" t="s">
        <v>66</v>
      </c>
      <c r="D45" s="5" t="s">
        <v>67</v>
      </c>
    </row>
    <row r="46" customFormat="false" ht="15" hidden="false" customHeight="false" outlineLevel="0" collapsed="false">
      <c r="A46" s="5" t="s">
        <v>68</v>
      </c>
      <c r="B46" s="6" t="n">
        <v>10</v>
      </c>
      <c r="C46" s="5" t="s">
        <v>16</v>
      </c>
      <c r="D46" s="5" t="s">
        <v>69</v>
      </c>
    </row>
    <row r="47" customFormat="false" ht="15" hidden="false" customHeight="false" outlineLevel="0" collapsed="false">
      <c r="A47" s="5" t="s">
        <v>70</v>
      </c>
      <c r="B47" s="6" t="n">
        <v>3000</v>
      </c>
      <c r="C47" s="5" t="s">
        <v>55</v>
      </c>
      <c r="D47" s="5" t="s">
        <v>71</v>
      </c>
    </row>
    <row r="48" customFormat="false" ht="15" hidden="false" customHeight="false" outlineLevel="0" collapsed="false">
      <c r="A48" s="5" t="s">
        <v>72</v>
      </c>
      <c r="B48" s="6" t="n">
        <v>54</v>
      </c>
      <c r="C48" s="5" t="s">
        <v>25</v>
      </c>
      <c r="D48" s="5" t="s">
        <v>73</v>
      </c>
    </row>
    <row r="49" customFormat="false" ht="15" hidden="false" customHeight="false" outlineLevel="0" collapsed="false">
      <c r="A49" s="5" t="s">
        <v>74</v>
      </c>
      <c r="B49" s="6" t="n">
        <v>20</v>
      </c>
      <c r="C49" s="5" t="s">
        <v>16</v>
      </c>
      <c r="D49" s="5" t="s">
        <v>75</v>
      </c>
    </row>
    <row r="52" customFormat="false" ht="15" hidden="false" customHeight="false" outlineLevel="0" collapsed="false">
      <c r="A52" s="3" t="s">
        <v>76</v>
      </c>
      <c r="B52" s="3"/>
      <c r="C52" s="3"/>
      <c r="D52" s="3"/>
    </row>
    <row r="53" customFormat="false" ht="15" hidden="false" customHeight="false" outlineLevel="0" collapsed="false">
      <c r="A53" s="4" t="s">
        <v>3</v>
      </c>
      <c r="B53" s="4" t="s">
        <v>4</v>
      </c>
      <c r="C53" s="4" t="s">
        <v>5</v>
      </c>
      <c r="D53" s="4" t="s">
        <v>6</v>
      </c>
    </row>
    <row r="54" customFormat="false" ht="15" hidden="false" customHeight="false" outlineLevel="0" collapsed="false">
      <c r="A54" s="5" t="s">
        <v>77</v>
      </c>
      <c r="B54" s="6" t="n">
        <v>1500000</v>
      </c>
      <c r="C54" s="5" t="s">
        <v>78</v>
      </c>
      <c r="D54" s="5" t="s">
        <v>79</v>
      </c>
    </row>
    <row r="55" customFormat="false" ht="15" hidden="false" customHeight="false" outlineLevel="0" collapsed="false">
      <c r="A55" s="5" t="s">
        <v>80</v>
      </c>
      <c r="B55" s="6" t="n">
        <v>0.19</v>
      </c>
      <c r="C55" s="5" t="s">
        <v>11</v>
      </c>
      <c r="D55" s="5" t="s">
        <v>81</v>
      </c>
    </row>
    <row r="56" customFormat="false" ht="15" hidden="false" customHeight="false" outlineLevel="0" collapsed="false">
      <c r="A56" s="5" t="s">
        <v>82</v>
      </c>
      <c r="B56" s="6" t="n">
        <v>2000</v>
      </c>
      <c r="C56" s="5" t="s">
        <v>83</v>
      </c>
      <c r="D56" s="5" t="s">
        <v>31</v>
      </c>
    </row>
    <row r="57" customFormat="false" ht="15" hidden="false" customHeight="false" outlineLevel="0" collapsed="false">
      <c r="A57" s="5" t="s">
        <v>84</v>
      </c>
      <c r="B57" s="6" t="n">
        <v>500</v>
      </c>
      <c r="C57" s="5" t="s">
        <v>83</v>
      </c>
      <c r="D57" s="5" t="s">
        <v>31</v>
      </c>
    </row>
    <row r="58" customFormat="false" ht="15" hidden="false" customHeight="false" outlineLevel="0" collapsed="false">
      <c r="A58" s="5" t="s">
        <v>85</v>
      </c>
      <c r="B58" s="6" t="n">
        <v>1000</v>
      </c>
      <c r="C58" s="5" t="s">
        <v>83</v>
      </c>
      <c r="D58" s="5" t="s">
        <v>31</v>
      </c>
    </row>
    <row r="59" customFormat="false" ht="15" hidden="false" customHeight="false" outlineLevel="0" collapsed="false">
      <c r="A59" s="5" t="s">
        <v>86</v>
      </c>
      <c r="B59" s="6" t="n">
        <v>0.05</v>
      </c>
      <c r="C59" s="5" t="s">
        <v>11</v>
      </c>
      <c r="D59" s="5" t="s">
        <v>87</v>
      </c>
    </row>
    <row r="60" customFormat="false" ht="15" hidden="false" customHeight="false" outlineLevel="0" collapsed="false">
      <c r="A60" s="5" t="s">
        <v>88</v>
      </c>
      <c r="B60" s="6" t="n">
        <v>0.075</v>
      </c>
      <c r="C60" s="5" t="s">
        <v>11</v>
      </c>
      <c r="D60" s="5" t="s">
        <v>89</v>
      </c>
    </row>
    <row r="63" customFormat="false" ht="15" hidden="false" customHeight="false" outlineLevel="0" collapsed="false">
      <c r="A63" s="3" t="s">
        <v>90</v>
      </c>
      <c r="B63" s="3"/>
      <c r="C63" s="3"/>
      <c r="D63" s="3"/>
    </row>
    <row r="64" customFormat="false" ht="15" hidden="false" customHeight="false" outlineLevel="0" collapsed="false">
      <c r="A64" s="4" t="s">
        <v>3</v>
      </c>
      <c r="B64" s="4" t="s">
        <v>4</v>
      </c>
      <c r="C64" s="4" t="s">
        <v>5</v>
      </c>
      <c r="D64" s="4" t="s">
        <v>6</v>
      </c>
    </row>
    <row r="65" customFormat="false" ht="15" hidden="false" customHeight="false" outlineLevel="0" collapsed="false">
      <c r="A65" s="5" t="s">
        <v>91</v>
      </c>
      <c r="B65" s="6" t="n">
        <v>8</v>
      </c>
      <c r="C65" s="5" t="s">
        <v>55</v>
      </c>
      <c r="D65" s="5" t="s">
        <v>92</v>
      </c>
    </row>
    <row r="66" customFormat="false" ht="15" hidden="false" customHeight="false" outlineLevel="0" collapsed="false">
      <c r="A66" s="5" t="s">
        <v>93</v>
      </c>
      <c r="B66" s="6" t="n">
        <v>4</v>
      </c>
      <c r="C66" s="5" t="s">
        <v>58</v>
      </c>
      <c r="D66" s="5" t="s">
        <v>3</v>
      </c>
    </row>
    <row r="67" customFormat="false" ht="15" hidden="false" customHeight="false" outlineLevel="0" collapsed="false">
      <c r="A67" s="5" t="s">
        <v>94</v>
      </c>
      <c r="B67" s="6" t="n">
        <v>0.7</v>
      </c>
      <c r="C67" s="5" t="s">
        <v>25</v>
      </c>
      <c r="D67" s="5" t="s">
        <v>95</v>
      </c>
    </row>
    <row r="68" customFormat="false" ht="15" hidden="false" customHeight="false" outlineLevel="0" collapsed="false">
      <c r="A68" s="5" t="s">
        <v>96</v>
      </c>
      <c r="B68" s="6" t="n">
        <v>50</v>
      </c>
      <c r="C68" s="5" t="s">
        <v>55</v>
      </c>
      <c r="D68" s="5" t="s">
        <v>97</v>
      </c>
    </row>
    <row r="69" customFormat="false" ht="15" hidden="false" customHeight="false" outlineLevel="0" collapsed="false">
      <c r="A69" s="5" t="s">
        <v>98</v>
      </c>
      <c r="B69" s="6" t="n">
        <v>60</v>
      </c>
      <c r="C69" s="5" t="s">
        <v>19</v>
      </c>
      <c r="D69" s="5" t="s">
        <v>99</v>
      </c>
    </row>
  </sheetData>
  <mergeCells count="8">
    <mergeCell ref="A1:F1"/>
    <mergeCell ref="A4:D4"/>
    <mergeCell ref="A10:D10"/>
    <mergeCell ref="A20:D20"/>
    <mergeCell ref="A29:D29"/>
    <mergeCell ref="A43:D43"/>
    <mergeCell ref="A52:D52"/>
    <mergeCell ref="A63:D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14" min="2" style="0" width="12"/>
  </cols>
  <sheetData>
    <row r="1" customFormat="false" ht="17.35" hidden="false" customHeight="false" outlineLevel="0" collapsed="false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false" outlineLevel="0" collapsed="false">
      <c r="A3" s="7" t="s">
        <v>101</v>
      </c>
      <c r="B3" s="8" t="s">
        <v>102</v>
      </c>
      <c r="C3" s="8" t="s">
        <v>103</v>
      </c>
      <c r="D3" s="8" t="s">
        <v>104</v>
      </c>
      <c r="E3" s="8" t="s">
        <v>105</v>
      </c>
      <c r="F3" s="8" t="s">
        <v>106</v>
      </c>
      <c r="G3" s="8" t="s">
        <v>107</v>
      </c>
      <c r="H3" s="8" t="s">
        <v>108</v>
      </c>
      <c r="I3" s="8" t="s">
        <v>109</v>
      </c>
      <c r="J3" s="8" t="s">
        <v>110</v>
      </c>
      <c r="K3" s="8" t="s">
        <v>111</v>
      </c>
      <c r="L3" s="8" t="s">
        <v>112</v>
      </c>
      <c r="M3" s="8" t="s">
        <v>113</v>
      </c>
      <c r="N3" s="8" t="s">
        <v>114</v>
      </c>
    </row>
    <row r="4" customFormat="false" ht="15" hidden="false" customHeight="false" outlineLevel="0" collapsed="false">
      <c r="A4" s="9" t="s">
        <v>115</v>
      </c>
    </row>
    <row r="5" customFormat="false" ht="15" hidden="false" customHeight="false" outlineLevel="0" collapsed="false">
      <c r="A5" s="0" t="s">
        <v>116</v>
      </c>
      <c r="B5" s="10" t="n">
        <f aca="false">Supuestos!$B$12*Supuestos!$B$13*Supuestos!$B$14*Supuestos!$B$15/12</f>
        <v>14467.6875</v>
      </c>
      <c r="C5" s="10" t="n">
        <f aca="false">Supuestos!$B$12*Supuestos!$B$13*Supuestos!$B$14*Supuestos!$B$15/12</f>
        <v>14467.6875</v>
      </c>
      <c r="D5" s="10" t="n">
        <f aca="false">Supuestos!$B$12*Supuestos!$B$13*Supuestos!$B$14*Supuestos!$B$15/12</f>
        <v>14467.6875</v>
      </c>
      <c r="E5" s="10" t="n">
        <f aca="false">Supuestos!$B$12*Supuestos!$B$13*Supuestos!$B$14*Supuestos!$B$15/12</f>
        <v>14467.6875</v>
      </c>
      <c r="F5" s="10" t="n">
        <f aca="false">Supuestos!$B$12*Supuestos!$B$13*Supuestos!$B$14*Supuestos!$B$15/12</f>
        <v>14467.6875</v>
      </c>
      <c r="G5" s="10" t="n">
        <f aca="false">Supuestos!$B$12*Supuestos!$B$13*Supuestos!$B$14*Supuestos!$B$15/12</f>
        <v>14467.6875</v>
      </c>
      <c r="H5" s="10" t="n">
        <f aca="false">Supuestos!$B$12*Supuestos!$B$13*Supuestos!$B$14*Supuestos!$B$15/12</f>
        <v>14467.6875</v>
      </c>
      <c r="I5" s="10" t="n">
        <f aca="false">Supuestos!$B$12*Supuestos!$B$13*Supuestos!$B$14*Supuestos!$B$15/12</f>
        <v>14467.6875</v>
      </c>
      <c r="J5" s="10" t="n">
        <f aca="false">Supuestos!$B$12*Supuestos!$B$13*Supuestos!$B$14*Supuestos!$B$15/12</f>
        <v>14467.6875</v>
      </c>
      <c r="K5" s="10" t="n">
        <f aca="false">Supuestos!$B$12*Supuestos!$B$13*Supuestos!$B$14*Supuestos!$B$15/12</f>
        <v>14467.6875</v>
      </c>
      <c r="L5" s="10" t="n">
        <f aca="false">Supuestos!$B$12*Supuestos!$B$13*Supuestos!$B$14*Supuestos!$B$15/12</f>
        <v>14467.6875</v>
      </c>
      <c r="M5" s="10" t="n">
        <f aca="false">Supuestos!$B$12*Supuestos!$B$13*Supuestos!$B$14*Supuestos!$B$15/12</f>
        <v>14467.6875</v>
      </c>
      <c r="N5" s="11" t="n">
        <f aca="false">SUM(B5:M5)</f>
        <v>173612.25</v>
      </c>
    </row>
    <row r="6" customFormat="false" ht="15" hidden="false" customHeight="false" outlineLevel="0" collapsed="false">
      <c r="A6" s="0" t="s">
        <v>117</v>
      </c>
      <c r="B6" s="10" t="n">
        <f aca="false">Supuestos!$B$22*Supuestos!$B$23*Supuestos!$B$24/12</f>
        <v>20533.3333333333</v>
      </c>
      <c r="C6" s="10" t="n">
        <f aca="false">Supuestos!$B$22*Supuestos!$B$23*Supuestos!$B$24/12</f>
        <v>20533.3333333333</v>
      </c>
      <c r="D6" s="10" t="n">
        <f aca="false">Supuestos!$B$22*Supuestos!$B$23*Supuestos!$B$24/12</f>
        <v>20533.3333333333</v>
      </c>
      <c r="E6" s="10" t="n">
        <f aca="false">Supuestos!$B$22*Supuestos!$B$23*Supuestos!$B$24/12</f>
        <v>20533.3333333333</v>
      </c>
      <c r="F6" s="10" t="n">
        <f aca="false">Supuestos!$B$22*Supuestos!$B$23*Supuestos!$B$24/12</f>
        <v>20533.3333333333</v>
      </c>
      <c r="G6" s="10" t="n">
        <f aca="false">Supuestos!$B$22*Supuestos!$B$23*Supuestos!$B$24/12</f>
        <v>20533.3333333333</v>
      </c>
      <c r="H6" s="10" t="n">
        <f aca="false">Supuestos!$B$22*Supuestos!$B$23*Supuestos!$B$24/12</f>
        <v>20533.3333333333</v>
      </c>
      <c r="I6" s="10" t="n">
        <f aca="false">Supuestos!$B$22*Supuestos!$B$23*Supuestos!$B$24/12</f>
        <v>20533.3333333333</v>
      </c>
      <c r="J6" s="10" t="n">
        <f aca="false">Supuestos!$B$22*Supuestos!$B$23*Supuestos!$B$24/12</f>
        <v>20533.3333333333</v>
      </c>
      <c r="K6" s="10" t="n">
        <f aca="false">Supuestos!$B$22*Supuestos!$B$23*Supuestos!$B$24/12</f>
        <v>20533.3333333333</v>
      </c>
      <c r="L6" s="10" t="n">
        <f aca="false">Supuestos!$B$22*Supuestos!$B$23*Supuestos!$B$24/12</f>
        <v>20533.3333333333</v>
      </c>
      <c r="M6" s="10" t="n">
        <f aca="false">Supuestos!$B$22*Supuestos!$B$23*Supuestos!$B$24/12</f>
        <v>20533.3333333333</v>
      </c>
      <c r="N6" s="11" t="n">
        <f aca="false">SUM(B6:M6)</f>
        <v>246400</v>
      </c>
    </row>
    <row r="7" customFormat="false" ht="15" hidden="false" customHeight="false" outlineLevel="0" collapsed="false">
      <c r="A7" s="0" t="s">
        <v>118</v>
      </c>
      <c r="B7" s="10" t="n">
        <f aca="false">Supuestos!$B$31*Supuestos!$B$13*(1-Supuestos!$B$32)*Supuestos!$B$14*Supuestos!$B$33/12</f>
        <v>5052.20833333333</v>
      </c>
      <c r="C7" s="10" t="n">
        <f aca="false">Supuestos!$B$31*Supuestos!$B$13*(1-Supuestos!$B$32)*Supuestos!$B$14*Supuestos!$B$33/12</f>
        <v>5052.20833333333</v>
      </c>
      <c r="D7" s="10" t="n">
        <f aca="false">Supuestos!$B$31*Supuestos!$B$13*(1-Supuestos!$B$32)*Supuestos!$B$14*Supuestos!$B$33/12</f>
        <v>5052.20833333333</v>
      </c>
      <c r="E7" s="10" t="n">
        <f aca="false">Supuestos!$B$31*Supuestos!$B$13*(1-Supuestos!$B$32)*Supuestos!$B$14*Supuestos!$B$33/12</f>
        <v>5052.20833333333</v>
      </c>
      <c r="F7" s="10" t="n">
        <f aca="false">Supuestos!$B$31*Supuestos!$B$13*(1-Supuestos!$B$32)*Supuestos!$B$14*Supuestos!$B$33/12</f>
        <v>5052.20833333333</v>
      </c>
      <c r="G7" s="10" t="n">
        <f aca="false">Supuestos!$B$31*Supuestos!$B$13*(1-Supuestos!$B$32)*Supuestos!$B$14*Supuestos!$B$33/12</f>
        <v>5052.20833333333</v>
      </c>
      <c r="H7" s="10" t="n">
        <f aca="false">Supuestos!$B$31*Supuestos!$B$13*(1-Supuestos!$B$32)*Supuestos!$B$14*Supuestos!$B$33/12</f>
        <v>5052.20833333333</v>
      </c>
      <c r="I7" s="10" t="n">
        <f aca="false">Supuestos!$B$31*Supuestos!$B$13*(1-Supuestos!$B$32)*Supuestos!$B$14*Supuestos!$B$33/12</f>
        <v>5052.20833333333</v>
      </c>
      <c r="J7" s="10" t="n">
        <f aca="false">Supuestos!$B$31*Supuestos!$B$13*(1-Supuestos!$B$32)*Supuestos!$B$14*Supuestos!$B$33/12</f>
        <v>5052.20833333333</v>
      </c>
      <c r="K7" s="10" t="n">
        <f aca="false">Supuestos!$B$31*Supuestos!$B$13*(1-Supuestos!$B$32)*Supuestos!$B$14*Supuestos!$B$33/12</f>
        <v>5052.20833333333</v>
      </c>
      <c r="L7" s="10" t="n">
        <f aca="false">Supuestos!$B$31*Supuestos!$B$13*(1-Supuestos!$B$32)*Supuestos!$B$14*Supuestos!$B$33/12</f>
        <v>5052.20833333333</v>
      </c>
      <c r="M7" s="10" t="n">
        <f aca="false">Supuestos!$B$31*Supuestos!$B$13*(1-Supuestos!$B$32)*Supuestos!$B$14*Supuestos!$B$33/12</f>
        <v>5052.20833333333</v>
      </c>
      <c r="N7" s="11" t="n">
        <f aca="false">SUM(B7:M7)</f>
        <v>60626.5</v>
      </c>
    </row>
    <row r="8" customFormat="false" ht="15" hidden="false" customHeight="false" outlineLevel="0" collapsed="false">
      <c r="A8" s="0" t="s">
        <v>119</v>
      </c>
      <c r="B8" s="10" t="n">
        <f aca="false">Supuestos!$B$37/12</f>
        <v>8333.33333333333</v>
      </c>
      <c r="C8" s="10" t="n">
        <f aca="false">Supuestos!$B$37/12</f>
        <v>8333.33333333333</v>
      </c>
      <c r="D8" s="10" t="n">
        <f aca="false">Supuestos!$B$37/12</f>
        <v>8333.33333333333</v>
      </c>
      <c r="E8" s="10" t="n">
        <f aca="false">Supuestos!$B$37/12</f>
        <v>8333.33333333333</v>
      </c>
      <c r="F8" s="10" t="n">
        <f aca="false">Supuestos!$B$37/12</f>
        <v>8333.33333333333</v>
      </c>
      <c r="G8" s="10" t="n">
        <f aca="false">Supuestos!$B$37/12</f>
        <v>8333.33333333333</v>
      </c>
      <c r="H8" s="10" t="n">
        <f aca="false">Supuestos!$B$37/12</f>
        <v>8333.33333333333</v>
      </c>
      <c r="I8" s="10" t="n">
        <f aca="false">Supuestos!$B$37/12</f>
        <v>8333.33333333333</v>
      </c>
      <c r="J8" s="10" t="n">
        <f aca="false">Supuestos!$B$37/12</f>
        <v>8333.33333333333</v>
      </c>
      <c r="K8" s="10" t="n">
        <f aca="false">Supuestos!$B$37/12</f>
        <v>8333.33333333333</v>
      </c>
      <c r="L8" s="10" t="n">
        <f aca="false">Supuestos!$B$37/12</f>
        <v>8333.33333333333</v>
      </c>
      <c r="M8" s="10" t="n">
        <f aca="false">Supuestos!$B$37/12</f>
        <v>8333.33333333333</v>
      </c>
      <c r="N8" s="11" t="n">
        <f aca="false">SUM(B8:M8)</f>
        <v>100000</v>
      </c>
    </row>
    <row r="9" customFormat="false" ht="15" hidden="false" customHeight="false" outlineLevel="0" collapsed="false">
      <c r="A9" s="0" t="s">
        <v>120</v>
      </c>
      <c r="B9" s="10" t="n">
        <f aca="false">Supuestos!$B$45*Supuestos!$B$47/12</f>
        <v>1250</v>
      </c>
      <c r="C9" s="10" t="n">
        <f aca="false">Supuestos!$B$45*Supuestos!$B$47/12</f>
        <v>1250</v>
      </c>
      <c r="D9" s="10" t="n">
        <f aca="false">Supuestos!$B$45*Supuestos!$B$47/12</f>
        <v>1250</v>
      </c>
      <c r="E9" s="10" t="n">
        <f aca="false">Supuestos!$B$45*Supuestos!$B$47/12</f>
        <v>1250</v>
      </c>
      <c r="F9" s="10" t="n">
        <f aca="false">Supuestos!$B$45*Supuestos!$B$47/12</f>
        <v>1250</v>
      </c>
      <c r="G9" s="10" t="n">
        <f aca="false">Supuestos!$B$45*Supuestos!$B$47/12</f>
        <v>1250</v>
      </c>
      <c r="H9" s="10" t="n">
        <f aca="false">Supuestos!$B$45*Supuestos!$B$47/12</f>
        <v>1250</v>
      </c>
      <c r="I9" s="10" t="n">
        <f aca="false">Supuestos!$B$45*Supuestos!$B$47/12</f>
        <v>1250</v>
      </c>
      <c r="J9" s="10" t="n">
        <f aca="false">Supuestos!$B$45*Supuestos!$B$47/12</f>
        <v>1250</v>
      </c>
      <c r="K9" s="10" t="n">
        <f aca="false">Supuestos!$B$45*Supuestos!$B$47/12</f>
        <v>1250</v>
      </c>
      <c r="L9" s="10" t="n">
        <f aca="false">Supuestos!$B$45*Supuestos!$B$47/12</f>
        <v>1250</v>
      </c>
      <c r="M9" s="10" t="n">
        <f aca="false">Supuestos!$B$45*Supuestos!$B$47/12</f>
        <v>1250</v>
      </c>
      <c r="N9" s="11" t="n">
        <f aca="false">SUM(B9:M9)</f>
        <v>15000</v>
      </c>
    </row>
    <row r="10" customFormat="false" ht="15" hidden="false" customHeight="false" outlineLevel="0" collapsed="false">
      <c r="A10" s="12" t="s">
        <v>121</v>
      </c>
      <c r="B10" s="13" t="n">
        <f aca="false">SUM(B5:B9)</f>
        <v>49636.5625</v>
      </c>
      <c r="C10" s="13" t="n">
        <f aca="false">SUM(C5:C9)</f>
        <v>49636.5625</v>
      </c>
      <c r="D10" s="13" t="n">
        <f aca="false">SUM(D5:D9)</f>
        <v>49636.5625</v>
      </c>
      <c r="E10" s="13" t="n">
        <f aca="false">SUM(E5:E9)</f>
        <v>49636.5625</v>
      </c>
      <c r="F10" s="13" t="n">
        <f aca="false">SUM(F5:F9)</f>
        <v>49636.5625</v>
      </c>
      <c r="G10" s="13" t="n">
        <f aca="false">SUM(G5:G9)</f>
        <v>49636.5625</v>
      </c>
      <c r="H10" s="13" t="n">
        <f aca="false">SUM(H5:H9)</f>
        <v>49636.5625</v>
      </c>
      <c r="I10" s="13" t="n">
        <f aca="false">SUM(I5:I9)</f>
        <v>49636.5625</v>
      </c>
      <c r="J10" s="13" t="n">
        <f aca="false">SUM(J5:J9)</f>
        <v>49636.5625</v>
      </c>
      <c r="K10" s="13" t="n">
        <f aca="false">SUM(K5:K9)</f>
        <v>49636.5625</v>
      </c>
      <c r="L10" s="13" t="n">
        <f aca="false">SUM(L5:L9)</f>
        <v>49636.5625</v>
      </c>
      <c r="M10" s="13" t="n">
        <f aca="false">SUM(M5:M9)</f>
        <v>49636.5625</v>
      </c>
      <c r="N10" s="13" t="n">
        <f aca="false">SUM(N5:N9)</f>
        <v>595638.75</v>
      </c>
    </row>
    <row r="12" customFormat="false" ht="15" hidden="false" customHeight="false" outlineLevel="0" collapsed="false">
      <c r="A12" s="14" t="s">
        <v>122</v>
      </c>
    </row>
    <row r="13" customFormat="false" ht="15" hidden="false" customHeight="false" outlineLevel="0" collapsed="false">
      <c r="A13" s="0" t="s">
        <v>123</v>
      </c>
      <c r="B13" s="10" t="n">
        <f aca="false">Supuestos!$B$12*Supuestos!$B$13*Supuestos!$B$14*Supuestos!$B$16/12</f>
        <v>4133.625</v>
      </c>
      <c r="C13" s="10" t="n">
        <f aca="false">Supuestos!$B$12*Supuestos!$B$13*Supuestos!$B$14*Supuestos!$B$16/12</f>
        <v>4133.625</v>
      </c>
      <c r="D13" s="10" t="n">
        <f aca="false">Supuestos!$B$12*Supuestos!$B$13*Supuestos!$B$14*Supuestos!$B$16/12</f>
        <v>4133.625</v>
      </c>
      <c r="E13" s="10" t="n">
        <f aca="false">Supuestos!$B$12*Supuestos!$B$13*Supuestos!$B$14*Supuestos!$B$16/12</f>
        <v>4133.625</v>
      </c>
      <c r="F13" s="10" t="n">
        <f aca="false">Supuestos!$B$12*Supuestos!$B$13*Supuestos!$B$14*Supuestos!$B$16/12</f>
        <v>4133.625</v>
      </c>
      <c r="G13" s="10" t="n">
        <f aca="false">Supuestos!$B$12*Supuestos!$B$13*Supuestos!$B$14*Supuestos!$B$16/12</f>
        <v>4133.625</v>
      </c>
      <c r="H13" s="10" t="n">
        <f aca="false">Supuestos!$B$12*Supuestos!$B$13*Supuestos!$B$14*Supuestos!$B$16/12</f>
        <v>4133.625</v>
      </c>
      <c r="I13" s="10" t="n">
        <f aca="false">Supuestos!$B$12*Supuestos!$B$13*Supuestos!$B$14*Supuestos!$B$16/12</f>
        <v>4133.625</v>
      </c>
      <c r="J13" s="10" t="n">
        <f aca="false">Supuestos!$B$12*Supuestos!$B$13*Supuestos!$B$14*Supuestos!$B$16/12</f>
        <v>4133.625</v>
      </c>
      <c r="K13" s="10" t="n">
        <f aca="false">Supuestos!$B$12*Supuestos!$B$13*Supuestos!$B$14*Supuestos!$B$16/12</f>
        <v>4133.625</v>
      </c>
      <c r="L13" s="10" t="n">
        <f aca="false">Supuestos!$B$12*Supuestos!$B$13*Supuestos!$B$14*Supuestos!$B$16/12</f>
        <v>4133.625</v>
      </c>
      <c r="M13" s="10" t="n">
        <f aca="false">Supuestos!$B$12*Supuestos!$B$13*Supuestos!$B$14*Supuestos!$B$16/12</f>
        <v>4133.625</v>
      </c>
      <c r="N13" s="11" t="n">
        <f aca="false">SUM(B13:M13)</f>
        <v>49603.5</v>
      </c>
    </row>
    <row r="14" customFormat="false" ht="15" hidden="false" customHeight="false" outlineLevel="0" collapsed="false">
      <c r="A14" s="0" t="s">
        <v>124</v>
      </c>
      <c r="B14" s="10" t="n">
        <f aca="false">Supuestos!$B$22*Supuestos!$B$23*Supuestos!$B$25/12</f>
        <v>14116.6666666667</v>
      </c>
      <c r="C14" s="10" t="n">
        <f aca="false">Supuestos!$B$22*Supuestos!$B$23*Supuestos!$B$25/12</f>
        <v>14116.6666666667</v>
      </c>
      <c r="D14" s="10" t="n">
        <f aca="false">Supuestos!$B$22*Supuestos!$B$23*Supuestos!$B$25/12</f>
        <v>14116.6666666667</v>
      </c>
      <c r="E14" s="10" t="n">
        <f aca="false">Supuestos!$B$22*Supuestos!$B$23*Supuestos!$B$25/12</f>
        <v>14116.6666666667</v>
      </c>
      <c r="F14" s="10" t="n">
        <f aca="false">Supuestos!$B$22*Supuestos!$B$23*Supuestos!$B$25/12</f>
        <v>14116.6666666667</v>
      </c>
      <c r="G14" s="10" t="n">
        <f aca="false">Supuestos!$B$22*Supuestos!$B$23*Supuestos!$B$25/12</f>
        <v>14116.6666666667</v>
      </c>
      <c r="H14" s="10" t="n">
        <f aca="false">Supuestos!$B$22*Supuestos!$B$23*Supuestos!$B$25/12</f>
        <v>14116.6666666667</v>
      </c>
      <c r="I14" s="10" t="n">
        <f aca="false">Supuestos!$B$22*Supuestos!$B$23*Supuestos!$B$25/12</f>
        <v>14116.6666666667</v>
      </c>
      <c r="J14" s="10" t="n">
        <f aca="false">Supuestos!$B$22*Supuestos!$B$23*Supuestos!$B$25/12</f>
        <v>14116.6666666667</v>
      </c>
      <c r="K14" s="10" t="n">
        <f aca="false">Supuestos!$B$22*Supuestos!$B$23*Supuestos!$B$25/12</f>
        <v>14116.6666666667</v>
      </c>
      <c r="L14" s="10" t="n">
        <f aca="false">Supuestos!$B$22*Supuestos!$B$23*Supuestos!$B$25/12</f>
        <v>14116.6666666667</v>
      </c>
      <c r="M14" s="10" t="n">
        <f aca="false">Supuestos!$B$22*Supuestos!$B$23*Supuestos!$B$25/12</f>
        <v>14116.6666666667</v>
      </c>
      <c r="N14" s="11" t="n">
        <f aca="false">SUM(B14:M14)</f>
        <v>169400</v>
      </c>
    </row>
    <row r="15" customFormat="false" ht="15" hidden="false" customHeight="false" outlineLevel="0" collapsed="false">
      <c r="A15" s="0" t="s">
        <v>125</v>
      </c>
      <c r="B15" s="10" t="n">
        <f aca="false">(Supuestos!$B$31*Supuestos!$B$13*Supuestos!$B$38+Supuestos!$B$37*(1-Supuestos!$B$36))/12</f>
        <v>5976.5625</v>
      </c>
      <c r="C15" s="10" t="n">
        <f aca="false">(Supuestos!$B$31*Supuestos!$B$13*Supuestos!$B$38+Supuestos!$B$37*(1-Supuestos!$B$36))/12</f>
        <v>5976.5625</v>
      </c>
      <c r="D15" s="10" t="n">
        <f aca="false">(Supuestos!$B$31*Supuestos!$B$13*Supuestos!$B$38+Supuestos!$B$37*(1-Supuestos!$B$36))/12</f>
        <v>5976.5625</v>
      </c>
      <c r="E15" s="10" t="n">
        <f aca="false">(Supuestos!$B$31*Supuestos!$B$13*Supuestos!$B$38+Supuestos!$B$37*(1-Supuestos!$B$36))/12</f>
        <v>5976.5625</v>
      </c>
      <c r="F15" s="10" t="n">
        <f aca="false">(Supuestos!$B$31*Supuestos!$B$13*Supuestos!$B$38+Supuestos!$B$37*(1-Supuestos!$B$36))/12</f>
        <v>5976.5625</v>
      </c>
      <c r="G15" s="10" t="n">
        <f aca="false">(Supuestos!$B$31*Supuestos!$B$13*Supuestos!$B$38+Supuestos!$B$37*(1-Supuestos!$B$36))/12</f>
        <v>5976.5625</v>
      </c>
      <c r="H15" s="10" t="n">
        <f aca="false">(Supuestos!$B$31*Supuestos!$B$13*Supuestos!$B$38+Supuestos!$B$37*(1-Supuestos!$B$36))/12</f>
        <v>5976.5625</v>
      </c>
      <c r="I15" s="10" t="n">
        <f aca="false">(Supuestos!$B$31*Supuestos!$B$13*Supuestos!$B$38+Supuestos!$B$37*(1-Supuestos!$B$36))/12</f>
        <v>5976.5625</v>
      </c>
      <c r="J15" s="10" t="n">
        <f aca="false">(Supuestos!$B$31*Supuestos!$B$13*Supuestos!$B$38+Supuestos!$B$37*(1-Supuestos!$B$36))/12</f>
        <v>5976.5625</v>
      </c>
      <c r="K15" s="10" t="n">
        <f aca="false">(Supuestos!$B$31*Supuestos!$B$13*Supuestos!$B$38+Supuestos!$B$37*(1-Supuestos!$B$36))/12</f>
        <v>5976.5625</v>
      </c>
      <c r="L15" s="10" t="n">
        <f aca="false">(Supuestos!$B$31*Supuestos!$B$13*Supuestos!$B$38+Supuestos!$B$37*(1-Supuestos!$B$36))/12</f>
        <v>5976.5625</v>
      </c>
      <c r="M15" s="10" t="n">
        <f aca="false">(Supuestos!$B$31*Supuestos!$B$13*Supuestos!$B$38+Supuestos!$B$37*(1-Supuestos!$B$36))/12</f>
        <v>5976.5625</v>
      </c>
      <c r="N15" s="11" t="n">
        <f aca="false">SUM(B15:M15)</f>
        <v>71718.75</v>
      </c>
    </row>
    <row r="16" customFormat="false" ht="15" hidden="false" customHeight="false" outlineLevel="0" collapsed="false">
      <c r="A16" s="0" t="s">
        <v>126</v>
      </c>
      <c r="B16" s="10" t="n">
        <f aca="false">Supuestos!$B$31*Supuestos!$B$13*(Supuestos!$B$39+Supuestos!$B$40)/12</f>
        <v>163.020833333333</v>
      </c>
      <c r="C16" s="10" t="n">
        <f aca="false">Supuestos!$B$31*Supuestos!$B$13*(Supuestos!$B$39+Supuestos!$B$40)/12</f>
        <v>163.020833333333</v>
      </c>
      <c r="D16" s="10" t="n">
        <f aca="false">Supuestos!$B$31*Supuestos!$B$13*(Supuestos!$B$39+Supuestos!$B$40)/12</f>
        <v>163.020833333333</v>
      </c>
      <c r="E16" s="10" t="n">
        <f aca="false">Supuestos!$B$31*Supuestos!$B$13*(Supuestos!$B$39+Supuestos!$B$40)/12</f>
        <v>163.020833333333</v>
      </c>
      <c r="F16" s="10" t="n">
        <f aca="false">Supuestos!$B$31*Supuestos!$B$13*(Supuestos!$B$39+Supuestos!$B$40)/12</f>
        <v>163.020833333333</v>
      </c>
      <c r="G16" s="10" t="n">
        <f aca="false">Supuestos!$B$31*Supuestos!$B$13*(Supuestos!$B$39+Supuestos!$B$40)/12</f>
        <v>163.020833333333</v>
      </c>
      <c r="H16" s="10" t="n">
        <f aca="false">Supuestos!$B$31*Supuestos!$B$13*(Supuestos!$B$39+Supuestos!$B$40)/12</f>
        <v>163.020833333333</v>
      </c>
      <c r="I16" s="10" t="n">
        <f aca="false">Supuestos!$B$31*Supuestos!$B$13*(Supuestos!$B$39+Supuestos!$B$40)/12</f>
        <v>163.020833333333</v>
      </c>
      <c r="J16" s="10" t="n">
        <f aca="false">Supuestos!$B$31*Supuestos!$B$13*(Supuestos!$B$39+Supuestos!$B$40)/12</f>
        <v>163.020833333333</v>
      </c>
      <c r="K16" s="10" t="n">
        <f aca="false">Supuestos!$B$31*Supuestos!$B$13*(Supuestos!$B$39+Supuestos!$B$40)/12</f>
        <v>163.020833333333</v>
      </c>
      <c r="L16" s="10" t="n">
        <f aca="false">Supuestos!$B$31*Supuestos!$B$13*(Supuestos!$B$39+Supuestos!$B$40)/12</f>
        <v>163.020833333333</v>
      </c>
      <c r="M16" s="10" t="n">
        <f aca="false">Supuestos!$B$31*Supuestos!$B$13*(Supuestos!$B$39+Supuestos!$B$40)/12</f>
        <v>163.020833333333</v>
      </c>
      <c r="N16" s="11" t="n">
        <f aca="false">SUM(B16:M16)</f>
        <v>1956.25</v>
      </c>
    </row>
    <row r="17" customFormat="false" ht="15" hidden="false" customHeight="false" outlineLevel="0" collapsed="false">
      <c r="A17" s="0" t="s">
        <v>127</v>
      </c>
      <c r="B17" s="10" t="n">
        <f aca="false">Supuestos!$B$49*Supuestos!$B$13*8/12</f>
        <v>166.666666666667</v>
      </c>
      <c r="C17" s="10" t="n">
        <f aca="false">Supuestos!$B$49*Supuestos!$B$13*8/12</f>
        <v>166.666666666667</v>
      </c>
      <c r="D17" s="10" t="n">
        <f aca="false">Supuestos!$B$49*Supuestos!$B$13*8/12</f>
        <v>166.666666666667</v>
      </c>
      <c r="E17" s="10" t="n">
        <f aca="false">Supuestos!$B$49*Supuestos!$B$13*8/12</f>
        <v>166.666666666667</v>
      </c>
      <c r="F17" s="10" t="n">
        <f aca="false">Supuestos!$B$49*Supuestos!$B$13*8/12</f>
        <v>166.666666666667</v>
      </c>
      <c r="G17" s="10" t="n">
        <f aca="false">Supuestos!$B$49*Supuestos!$B$13*8/12</f>
        <v>166.666666666667</v>
      </c>
      <c r="H17" s="10" t="n">
        <f aca="false">Supuestos!$B$49*Supuestos!$B$13*8/12</f>
        <v>166.666666666667</v>
      </c>
      <c r="I17" s="10" t="n">
        <f aca="false">Supuestos!$B$49*Supuestos!$B$13*8/12</f>
        <v>166.666666666667</v>
      </c>
      <c r="J17" s="10" t="n">
        <f aca="false">Supuestos!$B$49*Supuestos!$B$13*8/12</f>
        <v>166.666666666667</v>
      </c>
      <c r="K17" s="10" t="n">
        <f aca="false">Supuestos!$B$49*Supuestos!$B$13*8/12</f>
        <v>166.666666666667</v>
      </c>
      <c r="L17" s="10" t="n">
        <f aca="false">Supuestos!$B$49*Supuestos!$B$13*8/12</f>
        <v>166.666666666667</v>
      </c>
      <c r="M17" s="10" t="n">
        <f aca="false">Supuestos!$B$49*Supuestos!$B$13*8/12</f>
        <v>166.666666666667</v>
      </c>
      <c r="N17" s="11" t="n">
        <f aca="false">SUM(B17:M17)</f>
        <v>2000</v>
      </c>
    </row>
    <row r="18" customFormat="false" ht="15" hidden="false" customHeight="false" outlineLevel="0" collapsed="false">
      <c r="A18" s="15" t="s">
        <v>128</v>
      </c>
      <c r="B18" s="16" t="n">
        <f aca="false">SUM(B13:B17)</f>
        <v>24556.5416666667</v>
      </c>
      <c r="C18" s="16" t="n">
        <f aca="false">SUM(C13:C17)</f>
        <v>24556.5416666667</v>
      </c>
      <c r="D18" s="16" t="n">
        <f aca="false">SUM(D13:D17)</f>
        <v>24556.5416666667</v>
      </c>
      <c r="E18" s="16" t="n">
        <f aca="false">SUM(E13:E17)</f>
        <v>24556.5416666667</v>
      </c>
      <c r="F18" s="16" t="n">
        <f aca="false">SUM(F13:F17)</f>
        <v>24556.5416666667</v>
      </c>
      <c r="G18" s="16" t="n">
        <f aca="false">SUM(G13:G17)</f>
        <v>24556.5416666667</v>
      </c>
      <c r="H18" s="16" t="n">
        <f aca="false">SUM(H13:H17)</f>
        <v>24556.5416666667</v>
      </c>
      <c r="I18" s="16" t="n">
        <f aca="false">SUM(I13:I17)</f>
        <v>24556.5416666667</v>
      </c>
      <c r="J18" s="16" t="n">
        <f aca="false">SUM(J13:J17)</f>
        <v>24556.5416666667</v>
      </c>
      <c r="K18" s="16" t="n">
        <f aca="false">SUM(K13:K17)</f>
        <v>24556.5416666667</v>
      </c>
      <c r="L18" s="16" t="n">
        <f aca="false">SUM(L13:L17)</f>
        <v>24556.5416666667</v>
      </c>
      <c r="M18" s="16" t="n">
        <f aca="false">SUM(M13:M17)</f>
        <v>24556.5416666667</v>
      </c>
      <c r="N18" s="16" t="n">
        <f aca="false">SUM(N13:N17)</f>
        <v>294678.5</v>
      </c>
    </row>
    <row r="20" customFormat="false" ht="15" hidden="false" customHeight="false" outlineLevel="0" collapsed="false">
      <c r="A20" s="12" t="s">
        <v>129</v>
      </c>
      <c r="B20" s="13" t="n">
        <f aca="false">B10-B18</f>
        <v>25080.0208333333</v>
      </c>
      <c r="C20" s="13" t="n">
        <f aca="false">C10-C18</f>
        <v>25080.0208333333</v>
      </c>
      <c r="D20" s="13" t="n">
        <f aca="false">D10-D18</f>
        <v>25080.0208333333</v>
      </c>
      <c r="E20" s="13" t="n">
        <f aca="false">E10-E18</f>
        <v>25080.0208333333</v>
      </c>
      <c r="F20" s="13" t="n">
        <f aca="false">F10-F18</f>
        <v>25080.0208333333</v>
      </c>
      <c r="G20" s="13" t="n">
        <f aca="false">G10-G18</f>
        <v>25080.0208333333</v>
      </c>
      <c r="H20" s="13" t="n">
        <f aca="false">H10-H18</f>
        <v>25080.0208333333</v>
      </c>
      <c r="I20" s="13" t="n">
        <f aca="false">I10-I18</f>
        <v>25080.0208333333</v>
      </c>
      <c r="J20" s="13" t="n">
        <f aca="false">J10-J18</f>
        <v>25080.0208333333</v>
      </c>
      <c r="K20" s="13" t="n">
        <f aca="false">K10-K18</f>
        <v>25080.0208333333</v>
      </c>
      <c r="L20" s="13" t="n">
        <f aca="false">L10-L18</f>
        <v>25080.0208333333</v>
      </c>
      <c r="M20" s="13" t="n">
        <f aca="false">M10-M18</f>
        <v>25080.0208333333</v>
      </c>
      <c r="N20" s="13" t="n">
        <f aca="false">N10-N18</f>
        <v>300960.25</v>
      </c>
    </row>
    <row r="21" customFormat="false" ht="15" hidden="false" customHeight="false" outlineLevel="0" collapsed="false">
      <c r="A21" s="0" t="s">
        <v>130</v>
      </c>
      <c r="B21" s="17" t="n">
        <f aca="false">IF(B10=0,0,B20/B10)</f>
        <v>0.505273120662482</v>
      </c>
      <c r="C21" s="17" t="n">
        <f aca="false">IF(C10=0,0,C20/C10)</f>
        <v>0.505273120662482</v>
      </c>
      <c r="D21" s="17" t="n">
        <f aca="false">IF(D10=0,0,D20/D10)</f>
        <v>0.505273120662482</v>
      </c>
      <c r="E21" s="17" t="n">
        <f aca="false">IF(E10=0,0,E20/E10)</f>
        <v>0.505273120662482</v>
      </c>
      <c r="F21" s="17" t="n">
        <f aca="false">IF(F10=0,0,F20/F10)</f>
        <v>0.505273120662482</v>
      </c>
      <c r="G21" s="17" t="n">
        <f aca="false">IF(G10=0,0,G20/G10)</f>
        <v>0.505273120662482</v>
      </c>
      <c r="H21" s="17" t="n">
        <f aca="false">IF(H10=0,0,H20/H10)</f>
        <v>0.505273120662482</v>
      </c>
      <c r="I21" s="17" t="n">
        <f aca="false">IF(I10=0,0,I20/I10)</f>
        <v>0.505273120662482</v>
      </c>
      <c r="J21" s="17" t="n">
        <f aca="false">IF(J10=0,0,J20/J10)</f>
        <v>0.505273120662482</v>
      </c>
      <c r="K21" s="17" t="n">
        <f aca="false">IF(K10=0,0,K20/K10)</f>
        <v>0.505273120662482</v>
      </c>
      <c r="L21" s="17" t="n">
        <f aca="false">IF(L10=0,0,L20/L10)</f>
        <v>0.505273120662482</v>
      </c>
      <c r="M21" s="17" t="n">
        <f aca="false">IF(M10=0,0,M20/M10)</f>
        <v>0.505273120662482</v>
      </c>
      <c r="N21" s="17" t="n">
        <f aca="false">IF(N10=0,0,N20/N10)</f>
        <v>0.505273120662482</v>
      </c>
    </row>
    <row r="23" customFormat="false" ht="15" hidden="false" customHeight="false" outlineLevel="0" collapsed="false">
      <c r="A23" s="14" t="s">
        <v>131</v>
      </c>
    </row>
    <row r="24" customFormat="false" ht="15" hidden="false" customHeight="false" outlineLevel="0" collapsed="false">
      <c r="A24" s="0" t="s">
        <v>132</v>
      </c>
      <c r="B24" s="10" t="n">
        <f aca="false">(Supuestos!$B$17+Supuestos!$B$26)/12</f>
        <v>6416.66666666667</v>
      </c>
      <c r="C24" s="10" t="n">
        <f aca="false">(Supuestos!$B$17+Supuestos!$B$26)/12</f>
        <v>6416.66666666667</v>
      </c>
      <c r="D24" s="10" t="n">
        <f aca="false">(Supuestos!$B$17+Supuestos!$B$26)/12</f>
        <v>6416.66666666667</v>
      </c>
      <c r="E24" s="10" t="n">
        <f aca="false">(Supuestos!$B$17+Supuestos!$B$26)/12</f>
        <v>6416.66666666667</v>
      </c>
      <c r="F24" s="10" t="n">
        <f aca="false">(Supuestos!$B$17+Supuestos!$B$26)/12</f>
        <v>6416.66666666667</v>
      </c>
      <c r="G24" s="10" t="n">
        <f aca="false">(Supuestos!$B$17+Supuestos!$B$26)/12</f>
        <v>6416.66666666667</v>
      </c>
      <c r="H24" s="10" t="n">
        <f aca="false">(Supuestos!$B$17+Supuestos!$B$26)/12</f>
        <v>6416.66666666667</v>
      </c>
      <c r="I24" s="10" t="n">
        <f aca="false">(Supuestos!$B$17+Supuestos!$B$26)/12</f>
        <v>6416.66666666667</v>
      </c>
      <c r="J24" s="10" t="n">
        <f aca="false">(Supuestos!$B$17+Supuestos!$B$26)/12</f>
        <v>6416.66666666667</v>
      </c>
      <c r="K24" s="10" t="n">
        <f aca="false">(Supuestos!$B$17+Supuestos!$B$26)/12</f>
        <v>6416.66666666667</v>
      </c>
      <c r="L24" s="10" t="n">
        <f aca="false">(Supuestos!$B$17+Supuestos!$B$26)/12</f>
        <v>6416.66666666667</v>
      </c>
      <c r="M24" s="10" t="n">
        <f aca="false">(Supuestos!$B$17+Supuestos!$B$26)/12</f>
        <v>6416.66666666667</v>
      </c>
      <c r="N24" s="11" t="n">
        <f aca="false">SUM(B24:M24)</f>
        <v>77000</v>
      </c>
    </row>
    <row r="25" customFormat="false" ht="15" hidden="false" customHeight="false" outlineLevel="0" collapsed="false">
      <c r="A25" s="0" t="s">
        <v>133</v>
      </c>
      <c r="B25" s="10" t="n">
        <f aca="false">Supuestos!$B$54*(1+Supuestos!$B$55)/Supuestos!$B$6</f>
        <v>446.25</v>
      </c>
      <c r="C25" s="10" t="n">
        <f aca="false">Supuestos!$B$54*(1+Supuestos!$B$55)/Supuestos!$B$6</f>
        <v>446.25</v>
      </c>
      <c r="D25" s="10" t="n">
        <f aca="false">Supuestos!$B$54*(1+Supuestos!$B$55)/Supuestos!$B$6</f>
        <v>446.25</v>
      </c>
      <c r="E25" s="10" t="n">
        <f aca="false">Supuestos!$B$54*(1+Supuestos!$B$55)/Supuestos!$B$6</f>
        <v>446.25</v>
      </c>
      <c r="F25" s="10" t="n">
        <f aca="false">Supuestos!$B$54*(1+Supuestos!$B$55)/Supuestos!$B$6</f>
        <v>446.25</v>
      </c>
      <c r="G25" s="10" t="n">
        <f aca="false">Supuestos!$B$54*(1+Supuestos!$B$55)/Supuestos!$B$6</f>
        <v>446.25</v>
      </c>
      <c r="H25" s="10" t="n">
        <f aca="false">Supuestos!$B$54*(1+Supuestos!$B$55)/Supuestos!$B$6</f>
        <v>446.25</v>
      </c>
      <c r="I25" s="10" t="n">
        <f aca="false">Supuestos!$B$54*(1+Supuestos!$B$55)/Supuestos!$B$6</f>
        <v>446.25</v>
      </c>
      <c r="J25" s="10" t="n">
        <f aca="false">Supuestos!$B$54*(1+Supuestos!$B$55)/Supuestos!$B$6</f>
        <v>446.25</v>
      </c>
      <c r="K25" s="10" t="n">
        <f aca="false">Supuestos!$B$54*(1+Supuestos!$B$55)/Supuestos!$B$6</f>
        <v>446.25</v>
      </c>
      <c r="L25" s="10" t="n">
        <f aca="false">Supuestos!$B$54*(1+Supuestos!$B$55)/Supuestos!$B$6</f>
        <v>446.25</v>
      </c>
      <c r="M25" s="10" t="n">
        <f aca="false">Supuestos!$B$54*(1+Supuestos!$B$55)/Supuestos!$B$6</f>
        <v>446.25</v>
      </c>
      <c r="N25" s="11" t="n">
        <f aca="false">SUM(B25:M25)</f>
        <v>5355</v>
      </c>
    </row>
    <row r="26" customFormat="false" ht="15" hidden="false" customHeight="false" outlineLevel="0" collapsed="false">
      <c r="A26" s="0" t="s">
        <v>134</v>
      </c>
      <c r="B26" s="10" t="n">
        <f aca="false">Supuestos!$B$56</f>
        <v>2000</v>
      </c>
      <c r="C26" s="10" t="n">
        <f aca="false">Supuestos!$B$56</f>
        <v>2000</v>
      </c>
      <c r="D26" s="10" t="n">
        <f aca="false">Supuestos!$B$56</f>
        <v>2000</v>
      </c>
      <c r="E26" s="10" t="n">
        <f aca="false">Supuestos!$B$56</f>
        <v>2000</v>
      </c>
      <c r="F26" s="10" t="n">
        <f aca="false">Supuestos!$B$56</f>
        <v>2000</v>
      </c>
      <c r="G26" s="10" t="n">
        <f aca="false">Supuestos!$B$56</f>
        <v>2000</v>
      </c>
      <c r="H26" s="10" t="n">
        <f aca="false">Supuestos!$B$56</f>
        <v>2000</v>
      </c>
      <c r="I26" s="10" t="n">
        <f aca="false">Supuestos!$B$56</f>
        <v>2000</v>
      </c>
      <c r="J26" s="10" t="n">
        <f aca="false">Supuestos!$B$56</f>
        <v>2000</v>
      </c>
      <c r="K26" s="10" t="n">
        <f aca="false">Supuestos!$B$56</f>
        <v>2000</v>
      </c>
      <c r="L26" s="10" t="n">
        <f aca="false">Supuestos!$B$56</f>
        <v>2000</v>
      </c>
      <c r="M26" s="10" t="n">
        <f aca="false">Supuestos!$B$56</f>
        <v>2000</v>
      </c>
      <c r="N26" s="11" t="n">
        <f aca="false">SUM(B26:M26)</f>
        <v>24000</v>
      </c>
    </row>
    <row r="27" customFormat="false" ht="15" hidden="false" customHeight="false" outlineLevel="0" collapsed="false">
      <c r="A27" s="0" t="s">
        <v>135</v>
      </c>
      <c r="B27" s="10" t="n">
        <f aca="false">Supuestos!$B$57</f>
        <v>500</v>
      </c>
      <c r="C27" s="10" t="n">
        <f aca="false">Supuestos!$B$57</f>
        <v>500</v>
      </c>
      <c r="D27" s="10" t="n">
        <f aca="false">Supuestos!$B$57</f>
        <v>500</v>
      </c>
      <c r="E27" s="10" t="n">
        <f aca="false">Supuestos!$B$57</f>
        <v>500</v>
      </c>
      <c r="F27" s="10" t="n">
        <f aca="false">Supuestos!$B$57</f>
        <v>500</v>
      </c>
      <c r="G27" s="10" t="n">
        <f aca="false">Supuestos!$B$57</f>
        <v>500</v>
      </c>
      <c r="H27" s="10" t="n">
        <f aca="false">Supuestos!$B$57</f>
        <v>500</v>
      </c>
      <c r="I27" s="10" t="n">
        <f aca="false">Supuestos!$B$57</f>
        <v>500</v>
      </c>
      <c r="J27" s="10" t="n">
        <f aca="false">Supuestos!$B$57</f>
        <v>500</v>
      </c>
      <c r="K27" s="10" t="n">
        <f aca="false">Supuestos!$B$57</f>
        <v>500</v>
      </c>
      <c r="L27" s="10" t="n">
        <f aca="false">Supuestos!$B$57</f>
        <v>500</v>
      </c>
      <c r="M27" s="10" t="n">
        <f aca="false">Supuestos!$B$57</f>
        <v>500</v>
      </c>
      <c r="N27" s="11" t="n">
        <f aca="false">SUM(B27:M27)</f>
        <v>6000</v>
      </c>
    </row>
    <row r="28" customFormat="false" ht="15" hidden="false" customHeight="false" outlineLevel="0" collapsed="false">
      <c r="A28" s="0" t="s">
        <v>136</v>
      </c>
      <c r="B28" s="10" t="n">
        <f aca="false">Supuestos!$B$58</f>
        <v>1000</v>
      </c>
      <c r="C28" s="10" t="n">
        <f aca="false">Supuestos!$B$58</f>
        <v>1000</v>
      </c>
      <c r="D28" s="10" t="n">
        <f aca="false">Supuestos!$B$58</f>
        <v>1000</v>
      </c>
      <c r="E28" s="10" t="n">
        <f aca="false">Supuestos!$B$58</f>
        <v>1000</v>
      </c>
      <c r="F28" s="10" t="n">
        <f aca="false">Supuestos!$B$58</f>
        <v>1000</v>
      </c>
      <c r="G28" s="10" t="n">
        <f aca="false">Supuestos!$B$58</f>
        <v>1000</v>
      </c>
      <c r="H28" s="10" t="n">
        <f aca="false">Supuestos!$B$58</f>
        <v>1000</v>
      </c>
      <c r="I28" s="10" t="n">
        <f aca="false">Supuestos!$B$58</f>
        <v>1000</v>
      </c>
      <c r="J28" s="10" t="n">
        <f aca="false">Supuestos!$B$58</f>
        <v>1000</v>
      </c>
      <c r="K28" s="10" t="n">
        <f aca="false">Supuestos!$B$58</f>
        <v>1000</v>
      </c>
      <c r="L28" s="10" t="n">
        <f aca="false">Supuestos!$B$58</f>
        <v>1000</v>
      </c>
      <c r="M28" s="10" t="n">
        <f aca="false">Supuestos!$B$58</f>
        <v>1000</v>
      </c>
      <c r="N28" s="11" t="n">
        <f aca="false">SUM(B28:M28)</f>
        <v>12000</v>
      </c>
    </row>
    <row r="29" customFormat="false" ht="15" hidden="false" customHeight="false" outlineLevel="0" collapsed="false">
      <c r="A29" s="0" t="s">
        <v>137</v>
      </c>
      <c r="B29" s="10" t="n">
        <f aca="false">B8*Supuestos!$B$59</f>
        <v>416.666666666667</v>
      </c>
      <c r="C29" s="10" t="n">
        <f aca="false">C8*Supuestos!$B$59</f>
        <v>416.666666666667</v>
      </c>
      <c r="D29" s="10" t="n">
        <f aca="false">D8*Supuestos!$B$59</f>
        <v>416.666666666667</v>
      </c>
      <c r="E29" s="10" t="n">
        <f aca="false">E8*Supuestos!$B$59</f>
        <v>416.666666666667</v>
      </c>
      <c r="F29" s="10" t="n">
        <f aca="false">F8*Supuestos!$B$59</f>
        <v>416.666666666667</v>
      </c>
      <c r="G29" s="10" t="n">
        <f aca="false">G8*Supuestos!$B$59</f>
        <v>416.666666666667</v>
      </c>
      <c r="H29" s="10" t="n">
        <f aca="false">H8*Supuestos!$B$59</f>
        <v>416.666666666667</v>
      </c>
      <c r="I29" s="10" t="n">
        <f aca="false">I8*Supuestos!$B$59</f>
        <v>416.666666666667</v>
      </c>
      <c r="J29" s="10" t="n">
        <f aca="false">J8*Supuestos!$B$59</f>
        <v>416.666666666667</v>
      </c>
      <c r="K29" s="10" t="n">
        <f aca="false">K8*Supuestos!$B$59</f>
        <v>416.666666666667</v>
      </c>
      <c r="L29" s="10" t="n">
        <f aca="false">L8*Supuestos!$B$59</f>
        <v>416.666666666667</v>
      </c>
      <c r="M29" s="10" t="n">
        <f aca="false">M8*Supuestos!$B$59</f>
        <v>416.666666666667</v>
      </c>
      <c r="N29" s="11" t="n">
        <f aca="false">SUM(B29:M29)</f>
        <v>5000</v>
      </c>
    </row>
    <row r="30" customFormat="false" ht="15" hidden="false" customHeight="false" outlineLevel="0" collapsed="false">
      <c r="A30" s="15" t="s">
        <v>138</v>
      </c>
      <c r="B30" s="16" t="n">
        <f aca="false">SUM(B24:B29)</f>
        <v>10779.5833333333</v>
      </c>
      <c r="C30" s="16" t="n">
        <f aca="false">SUM(C24:C29)</f>
        <v>10779.5833333333</v>
      </c>
      <c r="D30" s="16" t="n">
        <f aca="false">SUM(D24:D29)</f>
        <v>10779.5833333333</v>
      </c>
      <c r="E30" s="16" t="n">
        <f aca="false">SUM(E24:E29)</f>
        <v>10779.5833333333</v>
      </c>
      <c r="F30" s="16" t="n">
        <f aca="false">SUM(F24:F29)</f>
        <v>10779.5833333333</v>
      </c>
      <c r="G30" s="16" t="n">
        <f aca="false">SUM(G24:G29)</f>
        <v>10779.5833333333</v>
      </c>
      <c r="H30" s="16" t="n">
        <f aca="false">SUM(H24:H29)</f>
        <v>10779.5833333333</v>
      </c>
      <c r="I30" s="16" t="n">
        <f aca="false">SUM(I24:I29)</f>
        <v>10779.5833333333</v>
      </c>
      <c r="J30" s="16" t="n">
        <f aca="false">SUM(J24:J29)</f>
        <v>10779.5833333333</v>
      </c>
      <c r="K30" s="16" t="n">
        <f aca="false">SUM(K24:K29)</f>
        <v>10779.5833333333</v>
      </c>
      <c r="L30" s="16" t="n">
        <f aca="false">SUM(L24:L29)</f>
        <v>10779.5833333333</v>
      </c>
      <c r="M30" s="16" t="n">
        <f aca="false">SUM(M24:M29)</f>
        <v>10779.5833333333</v>
      </c>
      <c r="N30" s="16" t="n">
        <f aca="false">SUM(N24:N29)</f>
        <v>129355</v>
      </c>
    </row>
    <row r="32" customFormat="false" ht="15" hidden="false" customHeight="false" outlineLevel="0" collapsed="false">
      <c r="A32" s="18" t="s">
        <v>139</v>
      </c>
      <c r="B32" s="13" t="n">
        <f aca="false">B20-B30</f>
        <v>14300.4375</v>
      </c>
      <c r="C32" s="13" t="n">
        <f aca="false">C20-C30</f>
        <v>14300.4375</v>
      </c>
      <c r="D32" s="13" t="n">
        <f aca="false">D20-D30</f>
        <v>14300.4375</v>
      </c>
      <c r="E32" s="13" t="n">
        <f aca="false">E20-E30</f>
        <v>14300.4375</v>
      </c>
      <c r="F32" s="13" t="n">
        <f aca="false">F20-F30</f>
        <v>14300.4375</v>
      </c>
      <c r="G32" s="13" t="n">
        <f aca="false">G20-G30</f>
        <v>14300.4375</v>
      </c>
      <c r="H32" s="13" t="n">
        <f aca="false">H20-H30</f>
        <v>14300.4375</v>
      </c>
      <c r="I32" s="13" t="n">
        <f aca="false">I20-I30</f>
        <v>14300.4375</v>
      </c>
      <c r="J32" s="13" t="n">
        <f aca="false">J20-J30</f>
        <v>14300.4375</v>
      </c>
      <c r="K32" s="13" t="n">
        <f aca="false">K20-K30</f>
        <v>14300.4375</v>
      </c>
      <c r="L32" s="13" t="n">
        <f aca="false">L20-L30</f>
        <v>14300.4375</v>
      </c>
      <c r="M32" s="13" t="n">
        <f aca="false">M20-M30</f>
        <v>14300.4375</v>
      </c>
      <c r="N32" s="13" t="n">
        <f aca="false">N20-N30</f>
        <v>171605.25</v>
      </c>
    </row>
    <row r="33" customFormat="false" ht="15" hidden="false" customHeight="false" outlineLevel="0" collapsed="false">
      <c r="A33" s="0" t="s">
        <v>140</v>
      </c>
      <c r="B33" s="17" t="n">
        <f aca="false">IF(B10=0,0,B32/B10)</f>
        <v>0.288102897939397</v>
      </c>
      <c r="C33" s="17" t="n">
        <f aca="false">IF(C10=0,0,C32/C10)</f>
        <v>0.288102897939397</v>
      </c>
      <c r="D33" s="17" t="n">
        <f aca="false">IF(D10=0,0,D32/D10)</f>
        <v>0.288102897939397</v>
      </c>
      <c r="E33" s="17" t="n">
        <f aca="false">IF(E10=0,0,E32/E10)</f>
        <v>0.288102897939397</v>
      </c>
      <c r="F33" s="17" t="n">
        <f aca="false">IF(F10=0,0,F32/F10)</f>
        <v>0.288102897939397</v>
      </c>
      <c r="G33" s="17" t="n">
        <f aca="false">IF(G10=0,0,G32/G10)</f>
        <v>0.288102897939397</v>
      </c>
      <c r="H33" s="17" t="n">
        <f aca="false">IF(H10=0,0,H32/H10)</f>
        <v>0.288102897939397</v>
      </c>
      <c r="I33" s="17" t="n">
        <f aca="false">IF(I10=0,0,I32/I10)</f>
        <v>0.288102897939397</v>
      </c>
      <c r="J33" s="17" t="n">
        <f aca="false">IF(J10=0,0,J32/J10)</f>
        <v>0.288102897939397</v>
      </c>
      <c r="K33" s="17" t="n">
        <f aca="false">IF(K10=0,0,K32/K10)</f>
        <v>0.288102897939397</v>
      </c>
      <c r="L33" s="17" t="n">
        <f aca="false">IF(L10=0,0,L32/L10)</f>
        <v>0.288102897939397</v>
      </c>
      <c r="M33" s="17" t="n">
        <f aca="false">IF(M10=0,0,M32/M10)</f>
        <v>0.288102897939397</v>
      </c>
      <c r="N33" s="17" t="n">
        <f aca="false">IF(N10=0,0,N32/N10)</f>
        <v>0.288102897939397</v>
      </c>
    </row>
    <row r="35" customFormat="false" ht="15" hidden="false" customHeight="false" outlineLevel="0" collapsed="false">
      <c r="A35" s="0" t="s">
        <v>141</v>
      </c>
      <c r="B35" s="19" t="n">
        <v>500</v>
      </c>
      <c r="C35" s="19" t="n">
        <v>500</v>
      </c>
      <c r="D35" s="19" t="n">
        <v>500</v>
      </c>
      <c r="E35" s="19" t="n">
        <v>500</v>
      </c>
      <c r="F35" s="19" t="n">
        <v>500</v>
      </c>
      <c r="G35" s="19" t="n">
        <v>500</v>
      </c>
      <c r="H35" s="19" t="n">
        <v>500</v>
      </c>
      <c r="I35" s="19" t="n">
        <v>500</v>
      </c>
      <c r="J35" s="19" t="n">
        <v>500</v>
      </c>
      <c r="K35" s="19" t="n">
        <v>500</v>
      </c>
      <c r="L35" s="19" t="n">
        <v>500</v>
      </c>
      <c r="M35" s="19" t="n">
        <v>500</v>
      </c>
      <c r="N35" s="11" t="n">
        <f aca="false">SUM(B35:M35)</f>
        <v>6000</v>
      </c>
    </row>
    <row r="36" customFormat="false" ht="15" hidden="false" customHeight="false" outlineLevel="0" collapsed="false">
      <c r="A36" s="18" t="s">
        <v>142</v>
      </c>
      <c r="B36" s="13" t="n">
        <f aca="false">B32-B35</f>
        <v>13800.4375</v>
      </c>
      <c r="C36" s="13" t="n">
        <f aca="false">C32-C35</f>
        <v>13800.4375</v>
      </c>
      <c r="D36" s="13" t="n">
        <f aca="false">D32-D35</f>
        <v>13800.4375</v>
      </c>
      <c r="E36" s="13" t="n">
        <f aca="false">E32-E35</f>
        <v>13800.4375</v>
      </c>
      <c r="F36" s="13" t="n">
        <f aca="false">F32-F35</f>
        <v>13800.4375</v>
      </c>
      <c r="G36" s="13" t="n">
        <f aca="false">G32-G35</f>
        <v>13800.4375</v>
      </c>
      <c r="H36" s="13" t="n">
        <f aca="false">H32-H35</f>
        <v>13800.4375</v>
      </c>
      <c r="I36" s="13" t="n">
        <f aca="false">I32-I35</f>
        <v>13800.4375</v>
      </c>
      <c r="J36" s="13" t="n">
        <f aca="false">J32-J35</f>
        <v>13800.4375</v>
      </c>
      <c r="K36" s="13" t="n">
        <f aca="false">K32-K35</f>
        <v>13800.4375</v>
      </c>
      <c r="L36" s="13" t="n">
        <f aca="false">L32-L35</f>
        <v>13800.4375</v>
      </c>
      <c r="M36" s="13" t="n">
        <f aca="false">M32-M35</f>
        <v>13800.4375</v>
      </c>
      <c r="N36" s="13" t="n">
        <f aca="false">N32-N35</f>
        <v>165605.25</v>
      </c>
    </row>
  </sheetData>
  <mergeCells count="1">
    <mergeCell ref="A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4" min="2" style="0" width="12"/>
  </cols>
  <sheetData>
    <row r="1" customFormat="false" ht="17.35" hidden="false" customHeight="false" outlineLevel="0" collapsed="false">
      <c r="A1" s="1" t="s">
        <v>143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false" outlineLevel="0" collapsed="false">
      <c r="A3" s="7" t="s">
        <v>101</v>
      </c>
      <c r="B3" s="8" t="s">
        <v>102</v>
      </c>
      <c r="C3" s="8" t="s">
        <v>103</v>
      </c>
      <c r="D3" s="8" t="s">
        <v>104</v>
      </c>
      <c r="E3" s="8" t="s">
        <v>105</v>
      </c>
      <c r="F3" s="8" t="s">
        <v>106</v>
      </c>
      <c r="G3" s="8" t="s">
        <v>107</v>
      </c>
      <c r="H3" s="8" t="s">
        <v>108</v>
      </c>
      <c r="I3" s="8" t="s">
        <v>109</v>
      </c>
      <c r="J3" s="8" t="s">
        <v>110</v>
      </c>
      <c r="K3" s="8" t="s">
        <v>111</v>
      </c>
      <c r="L3" s="8" t="s">
        <v>112</v>
      </c>
      <c r="M3" s="8" t="s">
        <v>113</v>
      </c>
      <c r="N3" s="8" t="s">
        <v>114</v>
      </c>
    </row>
    <row r="5" customFormat="false" ht="15" hidden="false" customHeight="false" outlineLevel="0" collapsed="false">
      <c r="A5" s="20" t="s">
        <v>144</v>
      </c>
      <c r="B5" s="21" t="n">
        <v>10000</v>
      </c>
      <c r="C5" s="11" t="n">
        <f aca="false">B18</f>
        <v>19336.78125</v>
      </c>
      <c r="D5" s="11" t="n">
        <f aca="false">C18</f>
        <v>33637.21875</v>
      </c>
      <c r="E5" s="11" t="n">
        <f aca="false">D18</f>
        <v>47937.65625</v>
      </c>
      <c r="F5" s="11" t="n">
        <f aca="false">E18</f>
        <v>62238.09375</v>
      </c>
      <c r="G5" s="11" t="n">
        <f aca="false">F18</f>
        <v>76538.53125</v>
      </c>
      <c r="H5" s="11" t="n">
        <f aca="false">G18</f>
        <v>90838.96875</v>
      </c>
      <c r="I5" s="11" t="n">
        <f aca="false">H18</f>
        <v>105139.40625</v>
      </c>
      <c r="J5" s="11" t="n">
        <f aca="false">I18</f>
        <v>119439.84375</v>
      </c>
      <c r="K5" s="11" t="n">
        <f aca="false">J18</f>
        <v>133740.28125</v>
      </c>
      <c r="L5" s="11" t="n">
        <f aca="false">K18</f>
        <v>148040.71875</v>
      </c>
      <c r="M5" s="11" t="n">
        <f aca="false">L18</f>
        <v>162341.15625</v>
      </c>
      <c r="N5" s="22" t="n">
        <f aca="false">B5</f>
        <v>10000</v>
      </c>
    </row>
    <row r="7" customFormat="false" ht="15" hidden="false" customHeight="false" outlineLevel="0" collapsed="false">
      <c r="A7" s="9" t="s">
        <v>145</v>
      </c>
    </row>
    <row r="8" customFormat="false" ht="15" hidden="false" customHeight="false" outlineLevel="0" collapsed="false">
      <c r="A8" s="0" t="s">
        <v>146</v>
      </c>
      <c r="B8" s="10" t="n">
        <f aca="false">'P&amp;G'!B10*0.9</f>
        <v>44672.90625</v>
      </c>
      <c r="C8" s="10" t="n">
        <f aca="false">'P&amp;G'!C10*0.9</f>
        <v>44672.90625</v>
      </c>
      <c r="D8" s="10" t="n">
        <f aca="false">'P&amp;G'!D10*0.9</f>
        <v>44672.90625</v>
      </c>
      <c r="E8" s="10" t="n">
        <f aca="false">'P&amp;G'!E10*0.9</f>
        <v>44672.90625</v>
      </c>
      <c r="F8" s="10" t="n">
        <f aca="false">'P&amp;G'!F10*0.9</f>
        <v>44672.90625</v>
      </c>
      <c r="G8" s="10" t="n">
        <f aca="false">'P&amp;G'!G10*0.9</f>
        <v>44672.90625</v>
      </c>
      <c r="H8" s="10" t="n">
        <f aca="false">'P&amp;G'!H10*0.9</f>
        <v>44672.90625</v>
      </c>
      <c r="I8" s="10" t="n">
        <f aca="false">'P&amp;G'!I10*0.9</f>
        <v>44672.90625</v>
      </c>
      <c r="J8" s="10" t="n">
        <f aca="false">'P&amp;G'!J10*0.9</f>
        <v>44672.90625</v>
      </c>
      <c r="K8" s="10" t="n">
        <f aca="false">'P&amp;G'!K10*0.9</f>
        <v>44672.90625</v>
      </c>
      <c r="L8" s="10" t="n">
        <f aca="false">'P&amp;G'!L10*0.9</f>
        <v>44672.90625</v>
      </c>
      <c r="M8" s="10" t="n">
        <f aca="false">'P&amp;G'!M10*0.9</f>
        <v>44672.90625</v>
      </c>
      <c r="N8" s="22" t="n">
        <f aca="false">SUM(B8:M8)</f>
        <v>536074.875</v>
      </c>
    </row>
    <row r="9" customFormat="false" ht="15" hidden="false" customHeight="false" outlineLevel="0" collapsed="false">
      <c r="A9" s="0" t="s">
        <v>147</v>
      </c>
      <c r="B9" s="5" t="n">
        <v>0</v>
      </c>
      <c r="C9" s="10" t="n">
        <f aca="false">'P&amp;G'!B10*0.1</f>
        <v>4963.65625</v>
      </c>
      <c r="D9" s="10" t="n">
        <f aca="false">'P&amp;G'!C10*0.1</f>
        <v>4963.65625</v>
      </c>
      <c r="E9" s="10" t="n">
        <f aca="false">'P&amp;G'!D10*0.1</f>
        <v>4963.65625</v>
      </c>
      <c r="F9" s="10" t="n">
        <f aca="false">'P&amp;G'!E10*0.1</f>
        <v>4963.65625</v>
      </c>
      <c r="G9" s="10" t="n">
        <f aca="false">'P&amp;G'!F10*0.1</f>
        <v>4963.65625</v>
      </c>
      <c r="H9" s="10" t="n">
        <f aca="false">'P&amp;G'!G10*0.1</f>
        <v>4963.65625</v>
      </c>
      <c r="I9" s="10" t="n">
        <f aca="false">'P&amp;G'!H10*0.1</f>
        <v>4963.65625</v>
      </c>
      <c r="J9" s="10" t="n">
        <f aca="false">'P&amp;G'!I10*0.1</f>
        <v>4963.65625</v>
      </c>
      <c r="K9" s="10" t="n">
        <f aca="false">'P&amp;G'!J10*0.1</f>
        <v>4963.65625</v>
      </c>
      <c r="L9" s="10" t="n">
        <f aca="false">'P&amp;G'!K10*0.1</f>
        <v>4963.65625</v>
      </c>
      <c r="M9" s="10" t="n">
        <f aca="false">'P&amp;G'!L10*0.1</f>
        <v>4963.65625</v>
      </c>
      <c r="N9" s="22" t="n">
        <f aca="false">SUM(B9:M9)</f>
        <v>54600.21875</v>
      </c>
    </row>
    <row r="10" customFormat="false" ht="15" hidden="false" customHeight="false" outlineLevel="0" collapsed="false">
      <c r="A10" s="12" t="s">
        <v>148</v>
      </c>
      <c r="B10" s="13" t="n">
        <f aca="false">SUM(B8:B9)</f>
        <v>44672.90625</v>
      </c>
      <c r="C10" s="13" t="n">
        <f aca="false">SUM(C8:C9)</f>
        <v>49636.5625</v>
      </c>
      <c r="D10" s="13" t="n">
        <f aca="false">SUM(D8:D9)</f>
        <v>49636.5625</v>
      </c>
      <c r="E10" s="13" t="n">
        <f aca="false">SUM(E8:E9)</f>
        <v>49636.5625</v>
      </c>
      <c r="F10" s="13" t="n">
        <f aca="false">SUM(F8:F9)</f>
        <v>49636.5625</v>
      </c>
      <c r="G10" s="13" t="n">
        <f aca="false">SUM(G8:G9)</f>
        <v>49636.5625</v>
      </c>
      <c r="H10" s="13" t="n">
        <f aca="false">SUM(H8:H9)</f>
        <v>49636.5625</v>
      </c>
      <c r="I10" s="13" t="n">
        <f aca="false">SUM(I8:I9)</f>
        <v>49636.5625</v>
      </c>
      <c r="J10" s="13" t="n">
        <f aca="false">SUM(J8:J9)</f>
        <v>49636.5625</v>
      </c>
      <c r="K10" s="13" t="n">
        <f aca="false">SUM(K8:K9)</f>
        <v>49636.5625</v>
      </c>
      <c r="L10" s="13" t="n">
        <f aca="false">SUM(L8:L9)</f>
        <v>49636.5625</v>
      </c>
      <c r="M10" s="13" t="n">
        <f aca="false">SUM(M8:M9)</f>
        <v>49636.5625</v>
      </c>
      <c r="N10" s="13" t="n">
        <f aca="false">SUM(N8:N9)</f>
        <v>590675.09375</v>
      </c>
    </row>
    <row r="12" customFormat="false" ht="15" hidden="false" customHeight="false" outlineLevel="0" collapsed="false">
      <c r="A12" s="14" t="s">
        <v>149</v>
      </c>
    </row>
    <row r="13" customFormat="false" ht="15" hidden="false" customHeight="false" outlineLevel="0" collapsed="false">
      <c r="A13" s="0" t="s">
        <v>150</v>
      </c>
      <c r="B13" s="10" t="n">
        <f aca="false">'P&amp;G'!B18</f>
        <v>24556.5416666667</v>
      </c>
      <c r="C13" s="10" t="n">
        <f aca="false">'P&amp;G'!C18</f>
        <v>24556.5416666667</v>
      </c>
      <c r="D13" s="10" t="n">
        <f aca="false">'P&amp;G'!D18</f>
        <v>24556.5416666667</v>
      </c>
      <c r="E13" s="10" t="n">
        <f aca="false">'P&amp;G'!E18</f>
        <v>24556.5416666667</v>
      </c>
      <c r="F13" s="10" t="n">
        <f aca="false">'P&amp;G'!F18</f>
        <v>24556.5416666667</v>
      </c>
      <c r="G13" s="10" t="n">
        <f aca="false">'P&amp;G'!G18</f>
        <v>24556.5416666667</v>
      </c>
      <c r="H13" s="10" t="n">
        <f aca="false">'P&amp;G'!H18</f>
        <v>24556.5416666667</v>
      </c>
      <c r="I13" s="10" t="n">
        <f aca="false">'P&amp;G'!I18</f>
        <v>24556.5416666667</v>
      </c>
      <c r="J13" s="10" t="n">
        <f aca="false">'P&amp;G'!J18</f>
        <v>24556.5416666667</v>
      </c>
      <c r="K13" s="10" t="n">
        <f aca="false">'P&amp;G'!K18</f>
        <v>24556.5416666667</v>
      </c>
      <c r="L13" s="10" t="n">
        <f aca="false">'P&amp;G'!L18</f>
        <v>24556.5416666667</v>
      </c>
      <c r="M13" s="10" t="n">
        <f aca="false">'P&amp;G'!M18</f>
        <v>24556.5416666667</v>
      </c>
      <c r="N13" s="22" t="n">
        <f aca="false">SUM(B13:M13)</f>
        <v>294678.5</v>
      </c>
    </row>
    <row r="14" customFormat="false" ht="15" hidden="false" customHeight="false" outlineLevel="0" collapsed="false">
      <c r="A14" s="0" t="s">
        <v>151</v>
      </c>
      <c r="B14" s="10" t="n">
        <f aca="false">'P&amp;G'!B30</f>
        <v>10779.5833333333</v>
      </c>
      <c r="C14" s="10" t="n">
        <f aca="false">'P&amp;G'!C30</f>
        <v>10779.5833333333</v>
      </c>
      <c r="D14" s="10" t="n">
        <f aca="false">'P&amp;G'!D30</f>
        <v>10779.5833333333</v>
      </c>
      <c r="E14" s="10" t="n">
        <f aca="false">'P&amp;G'!E30</f>
        <v>10779.5833333333</v>
      </c>
      <c r="F14" s="10" t="n">
        <f aca="false">'P&amp;G'!F30</f>
        <v>10779.5833333333</v>
      </c>
      <c r="G14" s="10" t="n">
        <f aca="false">'P&amp;G'!G30</f>
        <v>10779.5833333333</v>
      </c>
      <c r="H14" s="10" t="n">
        <f aca="false">'P&amp;G'!H30</f>
        <v>10779.5833333333</v>
      </c>
      <c r="I14" s="10" t="n">
        <f aca="false">'P&amp;G'!I30</f>
        <v>10779.5833333333</v>
      </c>
      <c r="J14" s="10" t="n">
        <f aca="false">'P&amp;G'!J30</f>
        <v>10779.5833333333</v>
      </c>
      <c r="K14" s="10" t="n">
        <f aca="false">'P&amp;G'!K30</f>
        <v>10779.5833333333</v>
      </c>
      <c r="L14" s="10" t="n">
        <f aca="false">'P&amp;G'!L30</f>
        <v>10779.5833333333</v>
      </c>
      <c r="M14" s="10" t="n">
        <f aca="false">'P&amp;G'!M30</f>
        <v>10779.5833333333</v>
      </c>
      <c r="N14" s="22" t="n">
        <f aca="false">SUM(B14:M14)</f>
        <v>129355</v>
      </c>
    </row>
    <row r="15" customFormat="false" ht="15" hidden="false" customHeight="false" outlineLevel="0" collapsed="false">
      <c r="A15" s="0" t="s">
        <v>152</v>
      </c>
      <c r="B15" s="19" t="n">
        <v>0</v>
      </c>
      <c r="C15" s="19" t="n">
        <v>0</v>
      </c>
      <c r="D15" s="19" t="n">
        <v>0</v>
      </c>
      <c r="E15" s="19" t="n">
        <v>0</v>
      </c>
      <c r="F15" s="19" t="n">
        <v>0</v>
      </c>
      <c r="G15" s="19" t="n">
        <v>0</v>
      </c>
      <c r="H15" s="19" t="n">
        <v>0</v>
      </c>
      <c r="I15" s="19" t="n">
        <v>0</v>
      </c>
      <c r="J15" s="19" t="n">
        <v>0</v>
      </c>
      <c r="K15" s="19" t="n">
        <v>0</v>
      </c>
      <c r="L15" s="19" t="n">
        <v>0</v>
      </c>
      <c r="M15" s="19" t="n">
        <v>0</v>
      </c>
      <c r="N15" s="22" t="n">
        <f aca="false">SUM(B15:M15)</f>
        <v>0</v>
      </c>
    </row>
    <row r="16" customFormat="false" ht="15" hidden="false" customHeight="false" outlineLevel="0" collapsed="false">
      <c r="A16" s="15" t="s">
        <v>153</v>
      </c>
      <c r="B16" s="16" t="n">
        <f aca="false">SUM(B13:B15)</f>
        <v>35336.125</v>
      </c>
      <c r="C16" s="16" t="n">
        <f aca="false">SUM(C13:C15)</f>
        <v>35336.125</v>
      </c>
      <c r="D16" s="16" t="n">
        <f aca="false">SUM(D13:D15)</f>
        <v>35336.125</v>
      </c>
      <c r="E16" s="16" t="n">
        <f aca="false">SUM(E13:E15)</f>
        <v>35336.125</v>
      </c>
      <c r="F16" s="16" t="n">
        <f aca="false">SUM(F13:F15)</f>
        <v>35336.125</v>
      </c>
      <c r="G16" s="16" t="n">
        <f aca="false">SUM(G13:G15)</f>
        <v>35336.125</v>
      </c>
      <c r="H16" s="16" t="n">
        <f aca="false">SUM(H13:H15)</f>
        <v>35336.125</v>
      </c>
      <c r="I16" s="16" t="n">
        <f aca="false">SUM(I13:I15)</f>
        <v>35336.125</v>
      </c>
      <c r="J16" s="16" t="n">
        <f aca="false">SUM(J13:J15)</f>
        <v>35336.125</v>
      </c>
      <c r="K16" s="16" t="n">
        <f aca="false">SUM(K13:K15)</f>
        <v>35336.125</v>
      </c>
      <c r="L16" s="16" t="n">
        <f aca="false">SUM(L13:L15)</f>
        <v>35336.125</v>
      </c>
      <c r="M16" s="16" t="n">
        <f aca="false">SUM(M13:M15)</f>
        <v>35336.125</v>
      </c>
      <c r="N16" s="16" t="n">
        <f aca="false">SUM(N13:N15)</f>
        <v>424033.5</v>
      </c>
    </row>
    <row r="18" customFormat="false" ht="15" hidden="false" customHeight="false" outlineLevel="0" collapsed="false">
      <c r="A18" s="23" t="s">
        <v>154</v>
      </c>
      <c r="B18" s="24" t="n">
        <f aca="false">B5+B10-B16</f>
        <v>19336.78125</v>
      </c>
      <c r="C18" s="24" t="n">
        <f aca="false">C5+C10-C16</f>
        <v>33637.21875</v>
      </c>
      <c r="D18" s="24" t="n">
        <f aca="false">D5+D10-D16</f>
        <v>47937.65625</v>
      </c>
      <c r="E18" s="24" t="n">
        <f aca="false">E5+E10-E16</f>
        <v>62238.09375</v>
      </c>
      <c r="F18" s="24" t="n">
        <f aca="false">F5+F10-F16</f>
        <v>76538.53125</v>
      </c>
      <c r="G18" s="24" t="n">
        <f aca="false">G5+G10-G16</f>
        <v>90838.96875</v>
      </c>
      <c r="H18" s="24" t="n">
        <f aca="false">H5+H10-H16</f>
        <v>105139.40625</v>
      </c>
      <c r="I18" s="24" t="n">
        <f aca="false">I5+I10-I16</f>
        <v>119439.84375</v>
      </c>
      <c r="J18" s="24" t="n">
        <f aca="false">J5+J10-J16</f>
        <v>133740.28125</v>
      </c>
      <c r="K18" s="24" t="n">
        <f aca="false">K5+K10-K16</f>
        <v>148040.71875</v>
      </c>
      <c r="L18" s="24" t="n">
        <f aca="false">L5+L10-L16</f>
        <v>162341.15625</v>
      </c>
      <c r="M18" s="24" t="n">
        <f aca="false">M5+M10-M16</f>
        <v>176641.59375</v>
      </c>
      <c r="N18" s="24" t="n">
        <f aca="false">N5+N10-N16</f>
        <v>176641.59375</v>
      </c>
    </row>
  </sheetData>
  <mergeCells count="1">
    <mergeCell ref="A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4" min="2" style="0" width="15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5"/>
  </cols>
  <sheetData>
    <row r="1" customFormat="false" ht="17.35" hidden="false" customHeight="false" outlineLevel="0" collapsed="false">
      <c r="A1" s="1" t="s">
        <v>155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8" t="s">
        <v>156</v>
      </c>
      <c r="B3" s="8" t="s">
        <v>157</v>
      </c>
      <c r="C3" s="8" t="s">
        <v>158</v>
      </c>
      <c r="D3" s="8" t="s">
        <v>159</v>
      </c>
      <c r="E3" s="8" t="s">
        <v>160</v>
      </c>
      <c r="F3" s="8" t="s">
        <v>161</v>
      </c>
      <c r="G3" s="8" t="s">
        <v>162</v>
      </c>
    </row>
    <row r="4" customFormat="false" ht="15" hidden="false" customHeight="false" outlineLevel="0" collapsed="false">
      <c r="A4" s="5" t="s">
        <v>163</v>
      </c>
      <c r="B4" s="10" t="n">
        <f aca="false">'P&amp;G'!N5</f>
        <v>173612.25</v>
      </c>
      <c r="C4" s="10" t="n">
        <f aca="false">'P&amp;G'!N13</f>
        <v>49603.5</v>
      </c>
      <c r="D4" s="22" t="n">
        <f aca="false">B4-C4</f>
        <v>124008.75</v>
      </c>
      <c r="E4" s="25" t="n">
        <f aca="false">IF(B4=0,0,D4/B4)</f>
        <v>0.714285714285714</v>
      </c>
      <c r="F4" s="26" t="n">
        <f aca="false">Supuestos!B12*Supuestos!B13*Supuestos!B14</f>
        <v>4133.625</v>
      </c>
      <c r="G4" s="27" t="n">
        <f aca="false">IF(F4=0,0,B4/F4)</f>
        <v>42</v>
      </c>
    </row>
    <row r="5" customFormat="false" ht="15" hidden="false" customHeight="false" outlineLevel="0" collapsed="false">
      <c r="A5" s="5" t="s">
        <v>164</v>
      </c>
      <c r="B5" s="10" t="n">
        <f aca="false">'P&amp;G'!N6</f>
        <v>246400</v>
      </c>
      <c r="C5" s="10" t="n">
        <f aca="false">'P&amp;G'!N14</f>
        <v>169400</v>
      </c>
      <c r="D5" s="22" t="n">
        <f aca="false">B5-C5</f>
        <v>77000</v>
      </c>
      <c r="E5" s="25" t="n">
        <f aca="false">IF(B5=0,0,D5/B5)</f>
        <v>0.3125</v>
      </c>
      <c r="F5" s="26" t="n">
        <f aca="false">Supuestos!B22*Supuestos!B23</f>
        <v>30800</v>
      </c>
      <c r="G5" s="27" t="n">
        <f aca="false">IF(F5=0,0,B5/F5)</f>
        <v>8</v>
      </c>
    </row>
    <row r="6" customFormat="false" ht="15" hidden="false" customHeight="false" outlineLevel="0" collapsed="false">
      <c r="A6" s="5" t="s">
        <v>165</v>
      </c>
      <c r="B6" s="10" t="n">
        <f aca="false">'P&amp;G'!N7</f>
        <v>60626.5</v>
      </c>
      <c r="C6" s="10" t="n">
        <f aca="false">'P&amp;G'!N15*0.3</f>
        <v>21515.625</v>
      </c>
      <c r="D6" s="22" t="n">
        <f aca="false">B6-C6</f>
        <v>39110.875</v>
      </c>
      <c r="E6" s="25" t="n">
        <f aca="false">IF(B6=0,0,D6/B6)</f>
        <v>0.645111873520655</v>
      </c>
      <c r="F6" s="26" t="n">
        <f aca="false">Supuestos!B31*Supuestos!B13*(1-Supuestos!B32)*Supuestos!B14</f>
        <v>1102.3</v>
      </c>
      <c r="G6" s="27" t="n">
        <f aca="false">IF(F6=0,0,B6/F6)</f>
        <v>55</v>
      </c>
    </row>
    <row r="7" customFormat="false" ht="15" hidden="false" customHeight="false" outlineLevel="0" collapsed="false">
      <c r="A7" s="5" t="s">
        <v>166</v>
      </c>
      <c r="B7" s="10" t="n">
        <f aca="false">'P&amp;G'!N8</f>
        <v>100000</v>
      </c>
      <c r="C7" s="10" t="n">
        <f aca="false">'P&amp;G'!N15*0.7</f>
        <v>50203.125</v>
      </c>
      <c r="D7" s="22" t="n">
        <f aca="false">B7-C7</f>
        <v>49796.875</v>
      </c>
      <c r="E7" s="25" t="n">
        <f aca="false">IF(B7=0,0,D7/B7)</f>
        <v>0.49796875</v>
      </c>
      <c r="F7" s="22" t="n">
        <f aca="false">B7/55</f>
        <v>1818.18181818182</v>
      </c>
      <c r="G7" s="27" t="n">
        <f aca="false">IF(F7=0,0,B7/F7)</f>
        <v>55</v>
      </c>
    </row>
    <row r="8" customFormat="false" ht="15" hidden="false" customHeight="false" outlineLevel="0" collapsed="false">
      <c r="A8" s="5" t="s">
        <v>167</v>
      </c>
      <c r="B8" s="10" t="n">
        <f aca="false">'P&amp;G'!N9</f>
        <v>15000</v>
      </c>
      <c r="C8" s="10" t="n">
        <f aca="false">'P&amp;G'!N17</f>
        <v>2000</v>
      </c>
      <c r="D8" s="22" t="n">
        <f aca="false">B8-C8</f>
        <v>13000</v>
      </c>
      <c r="E8" s="25" t="n">
        <f aca="false">IF(B8=0,0,D8/B8)</f>
        <v>0.866666666666667</v>
      </c>
      <c r="F8" s="26" t="n">
        <f aca="false">Supuestos!B45*Supuestos!B46*Supuestos!B13*Supuestos!B14</f>
        <v>1377.875</v>
      </c>
      <c r="G8" s="27" t="n">
        <f aca="false">IF(F8=0,0,B8/F8)</f>
        <v>10.8863285856845</v>
      </c>
    </row>
    <row r="10" customFormat="false" ht="15" hidden="false" customHeight="false" outlineLevel="0" collapsed="false">
      <c r="A10" s="28" t="s">
        <v>114</v>
      </c>
      <c r="B10" s="13" t="n">
        <f aca="false">SUM(B4:B8)</f>
        <v>595638.75</v>
      </c>
      <c r="C10" s="13" t="n">
        <f aca="false">SUM(C4:C8)</f>
        <v>292722.25</v>
      </c>
      <c r="D10" s="13" t="n">
        <f aca="false">SUM(D4:D8)</f>
        <v>302916.5</v>
      </c>
      <c r="E10" s="29" t="n">
        <f aca="false">IF(B10=0,0,D10/B10)</f>
        <v>0.508557410007324</v>
      </c>
      <c r="F10" s="30" t="n">
        <f aca="false">SUM(F4:F8)</f>
        <v>39231.9818181818</v>
      </c>
      <c r="G10" s="31" t="n">
        <f aca="false">IF(F10=0,0,B10/F10)</f>
        <v>15.1824792527803</v>
      </c>
    </row>
    <row r="13" customFormat="false" ht="15" hidden="false" customHeight="false" outlineLevel="0" collapsed="false">
      <c r="A13" s="3" t="s">
        <v>168</v>
      </c>
      <c r="B13" s="3"/>
      <c r="C13" s="3"/>
    </row>
    <row r="14" customFormat="false" ht="17.35" hidden="false" customHeight="false" outlineLevel="0" collapsed="false">
      <c r="A14" s="5" t="s">
        <v>169</v>
      </c>
      <c r="B14" s="32" t="n">
        <f aca="false">G10</f>
        <v>15.1824792527803</v>
      </c>
    </row>
    <row r="15" customFormat="false" ht="17.35" hidden="false" customHeight="false" outlineLevel="0" collapsed="false">
      <c r="A15" s="5" t="s">
        <v>170</v>
      </c>
      <c r="B15" s="33" t="n">
        <f aca="false">'P&amp;G'!N32</f>
        <v>171605.25</v>
      </c>
    </row>
    <row r="16" customFormat="false" ht="17.35" hidden="false" customHeight="false" outlineLevel="0" collapsed="false">
      <c r="A16" s="5" t="s">
        <v>171</v>
      </c>
      <c r="B16" s="34" t="n">
        <f aca="false">'P&amp;G'!N33</f>
        <v>0.288102897939397</v>
      </c>
    </row>
    <row r="17" customFormat="false" ht="15" hidden="false" customHeight="false" outlineLevel="0" collapsed="false">
      <c r="A17" s="5" t="s">
        <v>172</v>
      </c>
      <c r="B17" s="35" t="n">
        <f aca="false">F10</f>
        <v>39231.9818181818</v>
      </c>
    </row>
  </sheetData>
  <mergeCells count="2">
    <mergeCell ref="A1:G1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5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1" t="s">
        <v>173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3" t="s">
        <v>174</v>
      </c>
      <c r="B3" s="3"/>
      <c r="C3" s="3"/>
    </row>
    <row r="4" customFormat="false" ht="15" hidden="false" customHeight="false" outlineLevel="0" collapsed="false">
      <c r="A4" s="5" t="s">
        <v>175</v>
      </c>
      <c r="B4" s="10" t="n">
        <f aca="false">'P&amp;G'!N10</f>
        <v>595638.75</v>
      </c>
    </row>
    <row r="5" customFormat="false" ht="15" hidden="false" customHeight="false" outlineLevel="0" collapsed="false">
      <c r="A5" s="5" t="s">
        <v>176</v>
      </c>
      <c r="B5" s="10" t="n">
        <f aca="false">'P&amp;G'!N18</f>
        <v>294678.5</v>
      </c>
    </row>
    <row r="6" customFormat="false" ht="15" hidden="false" customHeight="false" outlineLevel="0" collapsed="false">
      <c r="A6" s="5" t="s">
        <v>159</v>
      </c>
      <c r="B6" s="10" t="n">
        <f aca="false">'P&amp;G'!N20</f>
        <v>300960.25</v>
      </c>
    </row>
    <row r="7" customFormat="false" ht="15" hidden="false" customHeight="false" outlineLevel="0" collapsed="false">
      <c r="A7" s="5" t="s">
        <v>177</v>
      </c>
      <c r="B7" s="36" t="n">
        <f aca="false">'P&amp;G'!N21</f>
        <v>0.505273120662482</v>
      </c>
    </row>
    <row r="8" customFormat="false" ht="15" hidden="false" customHeight="false" outlineLevel="0" collapsed="false">
      <c r="A8" s="5" t="s">
        <v>178</v>
      </c>
      <c r="B8" s="10" t="n">
        <f aca="false">'P&amp;G'!N30</f>
        <v>129355</v>
      </c>
    </row>
    <row r="9" customFormat="false" ht="15" hidden="false" customHeight="false" outlineLevel="0" collapsed="false">
      <c r="A9" s="5" t="s">
        <v>139</v>
      </c>
      <c r="B9" s="10" t="n">
        <f aca="false">'P&amp;G'!N32</f>
        <v>171605.25</v>
      </c>
    </row>
    <row r="10" customFormat="false" ht="15" hidden="false" customHeight="false" outlineLevel="0" collapsed="false">
      <c r="A10" s="5" t="s">
        <v>171</v>
      </c>
      <c r="B10" s="36" t="n">
        <f aca="false">'P&amp;G'!N33</f>
        <v>0.288102897939397</v>
      </c>
    </row>
    <row r="11" customFormat="false" ht="15" hidden="false" customHeight="false" outlineLevel="0" collapsed="false">
      <c r="A11" s="5" t="s">
        <v>179</v>
      </c>
      <c r="B11" s="10" t="n">
        <f aca="false">'P&amp;G'!N36</f>
        <v>165605.25</v>
      </c>
    </row>
    <row r="14" customFormat="false" ht="15" hidden="false" customHeight="false" outlineLevel="0" collapsed="false">
      <c r="A14" s="3" t="s">
        <v>180</v>
      </c>
      <c r="B14" s="3"/>
      <c r="C14" s="3"/>
      <c r="D14" s="3"/>
    </row>
    <row r="15" customFormat="false" ht="15" hidden="false" customHeight="false" outlineLevel="0" collapsed="false">
      <c r="A15" s="4" t="s">
        <v>181</v>
      </c>
      <c r="B15" s="4" t="s">
        <v>182</v>
      </c>
      <c r="C15" s="4" t="s">
        <v>183</v>
      </c>
      <c r="D15" s="4" t="s">
        <v>184</v>
      </c>
    </row>
    <row r="16" customFormat="false" ht="15" hidden="false" customHeight="false" outlineLevel="0" collapsed="false">
      <c r="A16" s="5" t="s">
        <v>163</v>
      </c>
      <c r="B16" s="10" t="n">
        <f aca="false">'P&amp;G'!N5</f>
        <v>173612.25</v>
      </c>
      <c r="C16" s="25" t="n">
        <f aca="false">B16/'P&amp;G'!N10</f>
        <v>0.291472389934335</v>
      </c>
      <c r="D16" s="36" t="n">
        <f aca="false">('P&amp;G'!N5-'P&amp;G'!N13)/'P&amp;G'!N5</f>
        <v>0.714285714285714</v>
      </c>
    </row>
    <row r="17" customFormat="false" ht="15" hidden="false" customHeight="false" outlineLevel="0" collapsed="false">
      <c r="A17" s="5" t="s">
        <v>185</v>
      </c>
      <c r="B17" s="10" t="n">
        <f aca="false">'P&amp;G'!N6</f>
        <v>246400</v>
      </c>
      <c r="C17" s="25" t="n">
        <f aca="false">B17/'P&amp;G'!N10</f>
        <v>0.413673556329235</v>
      </c>
      <c r="D17" s="36" t="n">
        <f aca="false">('P&amp;G'!N6-'P&amp;G'!N14)/'P&amp;G'!N6</f>
        <v>0.3125</v>
      </c>
    </row>
    <row r="18" customFormat="false" ht="15" hidden="false" customHeight="false" outlineLevel="0" collapsed="false">
      <c r="A18" s="5" t="s">
        <v>165</v>
      </c>
      <c r="B18" s="10" t="n">
        <f aca="false">'P&amp;G'!N7</f>
        <v>60626.5</v>
      </c>
      <c r="C18" s="25" t="n">
        <f aca="false">B18/'P&amp;G'!N10</f>
        <v>0.101784009183419</v>
      </c>
      <c r="D18" s="36" t="n">
        <f aca="false">Rentabilidad!E6</f>
        <v>0.645111873520655</v>
      </c>
    </row>
    <row r="19" customFormat="false" ht="15" hidden="false" customHeight="false" outlineLevel="0" collapsed="false">
      <c r="A19" s="5" t="s">
        <v>186</v>
      </c>
      <c r="B19" s="10" t="n">
        <f aca="false">'P&amp;G'!N8</f>
        <v>100000</v>
      </c>
      <c r="C19" s="25" t="n">
        <f aca="false">B19/'P&amp;G'!N10</f>
        <v>0.167886995263488</v>
      </c>
      <c r="D19" s="36" t="n">
        <f aca="false">Rentabilidad!E7</f>
        <v>0.49796875</v>
      </c>
    </row>
    <row r="20" customFormat="false" ht="15" hidden="false" customHeight="false" outlineLevel="0" collapsed="false">
      <c r="A20" s="5" t="s">
        <v>167</v>
      </c>
      <c r="B20" s="10" t="n">
        <f aca="false">'P&amp;G'!N9</f>
        <v>15000</v>
      </c>
      <c r="C20" s="25" t="n">
        <f aca="false">B20/'P&amp;G'!N10</f>
        <v>0.0251830492895232</v>
      </c>
      <c r="D20" s="36" t="n">
        <f aca="false">Rentabilidad!E8</f>
        <v>0.866666666666667</v>
      </c>
    </row>
    <row r="23" customFormat="false" ht="15" hidden="false" customHeight="false" outlineLevel="0" collapsed="false">
      <c r="A23" s="3" t="s">
        <v>187</v>
      </c>
      <c r="B23" s="3"/>
      <c r="C23" s="3"/>
      <c r="D23" s="3"/>
    </row>
    <row r="24" customFormat="false" ht="15" hidden="false" customHeight="false" outlineLevel="0" collapsed="false">
      <c r="A24" s="4" t="s">
        <v>188</v>
      </c>
      <c r="B24" s="4" t="s">
        <v>189</v>
      </c>
      <c r="C24" s="4" t="s">
        <v>190</v>
      </c>
      <c r="D24" s="4" t="s">
        <v>191</v>
      </c>
    </row>
    <row r="25" customFormat="false" ht="15" hidden="false" customHeight="false" outlineLevel="0" collapsed="false">
      <c r="A25" s="5" t="s">
        <v>192</v>
      </c>
      <c r="B25" s="22" t="n">
        <v>42</v>
      </c>
      <c r="C25" s="37" t="n">
        <f aca="false">Rentabilidad!G10</f>
        <v>15.1824792527803</v>
      </c>
      <c r="D25" s="5" t="str">
        <f aca="false">IF(C25&gt;=B25,"✓ SÍ","✗ NO")</f>
        <v>✗ NO</v>
      </c>
    </row>
    <row r="26" customFormat="false" ht="15" hidden="false" customHeight="false" outlineLevel="0" collapsed="false">
      <c r="A26" s="5" t="s">
        <v>193</v>
      </c>
      <c r="B26" s="22" t="n">
        <v>100000</v>
      </c>
      <c r="C26" s="10" t="n">
        <f aca="false">'P&amp;G'!N32</f>
        <v>171605.25</v>
      </c>
      <c r="D26" s="5" t="str">
        <f aca="false">IF(C26&gt;=B26,"✓ SÍ","✗ NO")</f>
        <v>✓ SÍ</v>
      </c>
    </row>
    <row r="27" customFormat="false" ht="15" hidden="false" customHeight="false" outlineLevel="0" collapsed="false">
      <c r="A27" s="5" t="s">
        <v>194</v>
      </c>
      <c r="B27" s="38" t="n">
        <v>0.6</v>
      </c>
      <c r="C27" s="36" t="n">
        <f aca="false">'P&amp;G'!N21</f>
        <v>0.505273120662482</v>
      </c>
      <c r="D27" s="5" t="str">
        <f aca="false">IF(C27&gt;=B27,"✓ SÍ","✗ NO")</f>
        <v>✗ NO</v>
      </c>
    </row>
  </sheetData>
  <mergeCells count="4">
    <mergeCell ref="A1:F1"/>
    <mergeCell ref="A3:C3"/>
    <mergeCell ref="A14:D14"/>
    <mergeCell ref="A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2025-11-24T21:51:39Z</dcterms:created>
  <dc:creator>openpyxl</dc:creator>
  <dc:description/>
  <dc:language>en-US</dc:language>
  <cp:lastModifiedBy/>
  <dcterms:modified xsi:type="dcterms:W3CDTF">2025-11-24T21:51:39Z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