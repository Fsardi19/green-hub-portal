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puestos" sheetId="1" state="visible" r:id="rId1"/>
    <sheet name="Beat Series - Resumen" sheetId="2" state="visible" r:id="rId2"/>
    <sheet name="P&amp;G" sheetId="3" state="visible" r:id="rId3"/>
    <sheet name="Flujo de Caja" sheetId="4" state="visible" r:id="rId4"/>
    <sheet name="Rentabilidad" sheetId="5" state="visible" r:id="rId5"/>
    <sheet name="Dashboard" sheetId="6" state="visible" r:id="rId6"/>
    <sheet name="Beat Series - Params" sheetId="7" state="visible" r:id="rId7"/>
    <sheet name="Beat Series - Subsidios" sheetId="8" state="visible" r:id="rId8"/>
    <sheet name="Beat Series - Costos" sheetId="9" state="visible" r:id="rId9"/>
    <sheet name="Beat Series - ROI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\$#,##0.00"/>
  </numFmts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000000"/>
      <sz val="14"/>
    </font>
    <font>
      <name val="Cambria"/>
      <charset val="1"/>
      <family val="0"/>
      <b val="1"/>
      <color rgb="FF000000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  <font>
      <name val="Cambria"/>
      <charset val="1"/>
      <family val="0"/>
      <color rgb="FF0000FF"/>
      <sz val="11"/>
    </font>
    <font>
      <name val="Cambria"/>
      <charset val="1"/>
      <family val="0"/>
      <color rgb="FF008000"/>
      <sz val="11"/>
    </font>
    <font>
      <name val="Cambria"/>
      <charset val="1"/>
      <family val="0"/>
      <color rgb="FF00000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sz val="14"/>
    </font>
    <font>
      <b val="1"/>
      <color rgb="001F4E79"/>
      <sz val="14"/>
    </font>
    <font>
      <b val="1"/>
      <color rgb="00FFFFFF"/>
      <sz val="12"/>
    </font>
    <font>
      <b val="1"/>
      <color rgb="00FFFFFF"/>
      <sz val="11"/>
    </font>
    <font>
      <b val="1"/>
      <color rgb="002E75B6"/>
    </font>
    <font>
      <b val="1"/>
    </font>
    <font>
      <i val="1"/>
      <color rgb="001F4E79"/>
    </font>
    <font>
      <b val="1"/>
      <color rgb="001F4E79"/>
      <sz val="16"/>
    </font>
    <font>
      <i val="1"/>
      <color rgb="00666666"/>
      <sz val="12"/>
    </font>
    <font>
      <sz val="10"/>
    </font>
    <font>
      <b val="1"/>
      <color rgb="00008000"/>
    </font>
    <font>
      <color rgb="00FF6600"/>
    </font>
    <font>
      <color rgb="001F4E79"/>
    </font>
    <font>
      <b val="1"/>
      <color rgb="00FF6600"/>
    </font>
  </fonts>
  <fills count="13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D6DCE5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6DCE5"/>
      </patternFill>
    </fill>
    <fill>
      <patternFill patternType="solid">
        <fgColor rgb="FFFFF2CC"/>
        <bgColor rgb="FFE2EFDA"/>
      </patternFill>
    </fill>
    <fill>
      <patternFill patternType="solid">
        <fgColor rgb="002E75B6"/>
        <bgColor rgb="002E75B6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BDD7EE"/>
        <bgColor rgb="00BDD7EE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164" fontId="7" fillId="6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1" fillId="5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4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165" fontId="7" fillId="5" borderId="1" applyAlignment="1" pivotButton="0" quotePrefix="0" xfId="0">
      <alignment horizontal="general" vertical="bottom"/>
    </xf>
    <xf numFmtId="3" fontId="7" fillId="5" borderId="1" applyAlignment="1" pivotButton="0" quotePrefix="0" xfId="0">
      <alignment horizontal="general" vertical="bottom"/>
    </xf>
    <xf numFmtId="166" fontId="7" fillId="5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4" fontId="12" fillId="4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164" fontId="7" fillId="6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1" fillId="5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4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165" fontId="7" fillId="5" borderId="1" applyAlignment="1" pivotButton="0" quotePrefix="0" xfId="0">
      <alignment horizontal="general" vertical="bottom"/>
    </xf>
    <xf numFmtId="3" fontId="7" fillId="5" borderId="1" applyAlignment="1" pivotButton="0" quotePrefix="0" xfId="0">
      <alignment horizontal="general" vertical="bottom"/>
    </xf>
    <xf numFmtId="166" fontId="7" fillId="5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4" fontId="12" fillId="4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4" fillId="7" borderId="0" pivotButton="0" quotePrefix="0" xfId="0"/>
    <xf numFmtId="0" fontId="13" fillId="0" borderId="0" applyAlignment="1" pivotButton="0" quotePrefix="0" xfId="0">
      <alignment horizontal="center"/>
    </xf>
    <xf numFmtId="0" fontId="14" fillId="7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9" borderId="2" applyAlignment="1" pivotButton="0" quotePrefix="0" xfId="0">
      <alignment horizontal="right"/>
    </xf>
    <xf numFmtId="0" fontId="16" fillId="0" borderId="2" pivotButton="0" quotePrefix="0" xfId="0"/>
    <xf numFmtId="0" fontId="16" fillId="10" borderId="2" pivotButton="0" quotePrefix="0" xfId="0"/>
    <xf numFmtId="0" fontId="0" fillId="11" borderId="2" pivotButton="0" quotePrefix="0" xfId="0"/>
    <xf numFmtId="0" fontId="17" fillId="12" borderId="2" pivotButton="0" quotePrefix="0" xfId="0"/>
    <xf numFmtId="0" fontId="17" fillId="11" borderId="2" pivotButton="0" quotePrefix="0" xfId="0"/>
    <xf numFmtId="0" fontId="0" fillId="12" borderId="2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0" borderId="0" pivotButton="0" quotePrefix="0" xfId="0"/>
    <xf numFmtId="0" fontId="15" fillId="8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15" fillId="8" borderId="2" applyAlignment="1" pivotButton="0" quotePrefix="0" xfId="0">
      <alignment horizontal="center"/>
    </xf>
    <xf numFmtId="0" fontId="22" fillId="0" borderId="2" applyAlignment="1" pivotButton="0" quotePrefix="0" xfId="0">
      <alignment horizontal="center"/>
    </xf>
    <xf numFmtId="0" fontId="23" fillId="0" borderId="2" applyAlignment="1" pivotButton="0" quotePrefix="0" xfId="0">
      <alignment horizontal="center"/>
    </xf>
    <xf numFmtId="0" fontId="24" fillId="0" borderId="0" pivotButton="0" quotePrefix="0" xfId="0"/>
    <xf numFmtId="0" fontId="25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6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15" customWidth="1" style="39" min="2" max="2"/>
    <col width="12" customWidth="1" style="39" min="3" max="3"/>
    <col width="25" customWidth="1" style="39" min="4" max="4"/>
  </cols>
  <sheetData>
    <row r="1" ht="17.35" customHeight="1" s="40">
      <c r="A1" s="41" t="inlineStr">
        <is>
          <t>MODELO FINANCIERO LA PALMA Y EL TUCÁN - 2026</t>
        </is>
      </c>
    </row>
    <row r="2" ht="15" customHeight="1" s="40">
      <c r="A2" s="42" t="inlineStr">
        <is>
          <t>HOJA DE SUPUESTOS Y VARIABLES</t>
        </is>
      </c>
    </row>
    <row r="4" ht="15" customHeight="1" s="40">
      <c r="A4" s="43" t="inlineStr">
        <is>
          <t>VARIABLES MACROECONÓMICAS</t>
        </is>
      </c>
    </row>
    <row r="5" ht="15" customHeight="1" s="40">
      <c r="A5" s="44" t="inlineStr">
        <is>
          <t>Variable</t>
        </is>
      </c>
      <c r="B5" s="44" t="inlineStr">
        <is>
          <t>Valor</t>
        </is>
      </c>
      <c r="C5" s="44" t="inlineStr">
        <is>
          <t>Unidad</t>
        </is>
      </c>
      <c r="D5" s="44" t="inlineStr">
        <is>
          <t>Notas</t>
        </is>
      </c>
    </row>
    <row r="6" ht="15" customHeight="1" s="40">
      <c r="A6" s="45" t="inlineStr">
        <is>
          <t>Tipo de cambio USD/COP</t>
        </is>
      </c>
      <c r="B6" s="46" t="n">
        <v>4000</v>
      </c>
      <c r="C6" s="45" t="inlineStr">
        <is>
          <t>COP/USD</t>
        </is>
      </c>
      <c r="D6" s="45" t="inlineStr">
        <is>
          <t>Supuesto base</t>
        </is>
      </c>
    </row>
    <row r="7" ht="15" customHeight="1" s="40">
      <c r="A7" s="45" t="inlineStr">
        <is>
          <t>Inflación Colombia</t>
        </is>
      </c>
      <c r="B7" s="46" t="n">
        <v>0.06</v>
      </c>
      <c r="C7" s="45" t="inlineStr">
        <is>
          <t>%</t>
        </is>
      </c>
      <c r="D7" s="45" t="inlineStr">
        <is>
          <t>Estimado 2026</t>
        </is>
      </c>
    </row>
    <row r="8" ht="15" customHeight="1" s="40">
      <c r="A8" s="45" t="inlineStr">
        <is>
          <t>Inflación USA</t>
        </is>
      </c>
      <c r="B8" s="46" t="n">
        <v>0.03</v>
      </c>
      <c r="C8" s="45" t="inlineStr">
        <is>
          <t>%</t>
        </is>
      </c>
      <c r="D8" s="45" t="inlineStr">
        <is>
          <t>Estimado 2026</t>
        </is>
      </c>
    </row>
    <row r="10" ht="15" customHeight="1" s="40">
      <c r="A10" s="43" t="inlineStr">
        <is>
          <t>1. CAFÉ VERDE - VENTA DIRECTA</t>
        </is>
      </c>
    </row>
    <row r="11" ht="15" customHeight="1" s="40">
      <c r="A11" s="44" t="inlineStr">
        <is>
          <t>Variable</t>
        </is>
      </c>
      <c r="B11" s="44" t="inlineStr">
        <is>
          <t>Valor</t>
        </is>
      </c>
      <c r="C11" s="44" t="inlineStr">
        <is>
          <t>Unidad</t>
        </is>
      </c>
      <c r="D11" s="44" t="inlineStr">
        <is>
          <t>Notas</t>
        </is>
      </c>
    </row>
    <row r="12" ht="15" customHeight="1" s="40">
      <c r="A12" s="45" t="inlineStr">
        <is>
          <t>Cajas proyectadas (12.5 kg c/u)</t>
        </is>
      </c>
      <c r="B12" s="46" t="n">
        <v>150</v>
      </c>
      <c r="C12" s="45" t="inlineStr">
        <is>
          <t>cajas</t>
        </is>
      </c>
      <c r="D12" s="45" t="inlineStr">
        <is>
          <t>Proyección 2026</t>
        </is>
      </c>
    </row>
    <row r="13" ht="15" customHeight="1" s="40">
      <c r="A13" s="45" t="inlineStr">
        <is>
          <t>Kg por caja</t>
        </is>
      </c>
      <c r="B13" s="46" t="n">
        <v>12.5</v>
      </c>
      <c r="C13" s="45" t="inlineStr">
        <is>
          <t>kg</t>
        </is>
      </c>
      <c r="D13" s="45" t="inlineStr">
        <is>
          <t>Estándar</t>
        </is>
      </c>
    </row>
    <row r="14" ht="15" customHeight="1" s="40">
      <c r="A14" s="45" t="inlineStr">
        <is>
          <t>Conversión kg a libras</t>
        </is>
      </c>
      <c r="B14" s="46" t="n">
        <v>2.2046</v>
      </c>
      <c r="C14" s="45" t="inlineStr">
        <is>
          <t>lb/kg</t>
        </is>
      </c>
      <c r="D14" s="45" t="inlineStr">
        <is>
          <t>Fijo</t>
        </is>
      </c>
    </row>
    <row r="15" ht="15" customHeight="1" s="40">
      <c r="A15" s="45" t="inlineStr">
        <is>
          <t>Precio venta por libra</t>
        </is>
      </c>
      <c r="B15" s="46" t="n">
        <v>42</v>
      </c>
      <c r="C15" s="45" t="inlineStr">
        <is>
          <t>USD/lb</t>
        </is>
      </c>
      <c r="D15" s="45" t="inlineStr">
        <is>
          <t>Objetivo mínimo</t>
        </is>
      </c>
    </row>
    <row r="16" ht="15" customHeight="1" s="40">
      <c r="A16" s="45" t="inlineStr">
        <is>
          <t>Costo producción por libra</t>
        </is>
      </c>
      <c r="B16" s="46" t="n">
        <v>12</v>
      </c>
      <c r="C16" s="45" t="inlineStr">
        <is>
          <t>USD/lb</t>
        </is>
      </c>
      <c r="D16" s="45" t="inlineStr">
        <is>
          <t>Costo directo</t>
        </is>
      </c>
    </row>
    <row r="17" ht="15" customHeight="1" s="40">
      <c r="A17" s="45" t="inlineStr">
        <is>
          <t>Gastos admin y logísticos</t>
        </is>
      </c>
      <c r="B17" s="46" t="n">
        <v>50000</v>
      </c>
      <c r="C17" s="45" t="inlineStr">
        <is>
          <t>USD/año</t>
        </is>
      </c>
      <c r="D17" s="45" t="inlineStr">
        <is>
          <t>Estimado</t>
        </is>
      </c>
    </row>
    <row r="20" ht="15" customHeight="1" s="40">
      <c r="A20" s="43" t="inlineStr">
        <is>
          <t>2. CAFÉ VERDE - NEIGHBORS &amp; CROPS</t>
        </is>
      </c>
    </row>
    <row r="21" ht="15" customHeight="1" s="40">
      <c r="A21" s="44" t="inlineStr">
        <is>
          <t>Variable</t>
        </is>
      </c>
      <c r="B21" s="44" t="inlineStr">
        <is>
          <t>Valor</t>
        </is>
      </c>
      <c r="C21" s="44" t="inlineStr">
        <is>
          <t>Unidad</t>
        </is>
      </c>
      <c r="D21" s="44" t="inlineStr">
        <is>
          <t>Notas</t>
        </is>
      </c>
    </row>
    <row r="22" ht="15" customHeight="1" s="40">
      <c r="A22" s="45" t="inlineStr">
        <is>
          <t>Sacos proyectados (77 lb c/u)</t>
        </is>
      </c>
      <c r="B22" s="46" t="n">
        <v>400</v>
      </c>
      <c r="C22" s="45" t="inlineStr">
        <is>
          <t>sacos</t>
        </is>
      </c>
      <c r="D22" s="45" t="inlineStr">
        <is>
          <t>Proyección 2026</t>
        </is>
      </c>
    </row>
    <row r="23" ht="15" customHeight="1" s="40">
      <c r="A23" s="45" t="inlineStr">
        <is>
          <t>Libras por saco</t>
        </is>
      </c>
      <c r="B23" s="46" t="n">
        <v>77</v>
      </c>
      <c r="C23" s="45" t="inlineStr">
        <is>
          <t>lb</t>
        </is>
      </c>
      <c r="D23" s="45" t="inlineStr">
        <is>
          <t>Estándar</t>
        </is>
      </c>
    </row>
    <row r="24" ht="15" customHeight="1" s="40">
      <c r="A24" s="45" t="inlineStr">
        <is>
          <t>Precio venta por libra</t>
        </is>
      </c>
      <c r="B24" s="46" t="n">
        <v>8</v>
      </c>
      <c r="C24" s="45" t="inlineStr">
        <is>
          <t>USD/lb</t>
        </is>
      </c>
      <c r="D24" s="45" t="inlineStr">
        <is>
          <t>Precio vecinos</t>
        </is>
      </c>
    </row>
    <row r="25" ht="15" customHeight="1" s="40">
      <c r="A25" s="45" t="inlineStr">
        <is>
          <t>Costo adquisición por libra</t>
        </is>
      </c>
      <c r="B25" s="46" t="n">
        <v>5.5</v>
      </c>
      <c r="C25" s="45" t="inlineStr">
        <is>
          <t>USD/lb</t>
        </is>
      </c>
      <c r="D25" s="45" t="inlineStr">
        <is>
          <t>Bourbon rosado</t>
        </is>
      </c>
    </row>
    <row r="26" ht="15" customHeight="1" s="40">
      <c r="A26" s="45" t="inlineStr">
        <is>
          <t>Gastos admin adicionales</t>
        </is>
      </c>
      <c r="B26" s="46" t="n">
        <v>27000</v>
      </c>
      <c r="C26" s="45" t="inlineStr">
        <is>
          <t>USD/año</t>
        </is>
      </c>
      <c r="D26" s="45" t="inlineStr">
        <is>
          <t>Estimado</t>
        </is>
      </c>
    </row>
    <row r="29" ht="15" customHeight="1" s="40">
      <c r="A29" s="43" t="inlineStr">
        <is>
          <t>3. CAFÉ TOSTADO</t>
        </is>
      </c>
    </row>
    <row r="30" ht="15" customHeight="1" s="40">
      <c r="A30" s="44" t="inlineStr">
        <is>
          <t>Variable</t>
        </is>
      </c>
      <c r="B30" s="44" t="inlineStr">
        <is>
          <t>Valor</t>
        </is>
      </c>
      <c r="C30" s="44" t="inlineStr">
        <is>
          <t>Unidad</t>
        </is>
      </c>
      <c r="D30" s="44" t="inlineStr">
        <is>
          <t>Notas</t>
        </is>
      </c>
    </row>
    <row r="31" ht="15" customHeight="1" s="40">
      <c r="A31" s="45" t="inlineStr">
        <is>
          <t>Cajas varietales propios (12.5 kg)</t>
        </is>
      </c>
      <c r="B31" s="46" t="n">
        <v>50</v>
      </c>
      <c r="C31" s="45" t="inlineStr">
        <is>
          <t>cajas</t>
        </is>
      </c>
      <c r="D31" s="45" t="inlineStr">
        <is>
          <t>Inventario disponible</t>
        </is>
      </c>
    </row>
    <row r="32" ht="15" customHeight="1" s="40">
      <c r="A32" s="45" t="inlineStr">
        <is>
          <t>Pérdida por tostión</t>
        </is>
      </c>
      <c r="B32" s="46" t="n">
        <v>0.2</v>
      </c>
      <c r="C32" s="45" t="inlineStr">
        <is>
          <t>%</t>
        </is>
      </c>
      <c r="D32" s="45" t="inlineStr">
        <is>
          <t>20% del peso</t>
        </is>
      </c>
    </row>
    <row r="33" ht="15" customHeight="1" s="40">
      <c r="A33" s="45" t="inlineStr">
        <is>
          <t>Precio promedio tostado</t>
        </is>
      </c>
      <c r="B33" s="46" t="n">
        <v>55</v>
      </c>
      <c r="C33" s="45" t="inlineStr">
        <is>
          <t>USD/lb</t>
        </is>
      </c>
      <c r="D33" s="45" t="inlineStr">
        <is>
          <t>Equivalente tostado</t>
        </is>
      </c>
    </row>
    <row r="34" ht="15" customHeight="1" s="40">
      <c r="A34" s="45" t="inlineStr">
        <is>
          <t>Margen B2C objetivo</t>
        </is>
      </c>
      <c r="B34" s="46" t="n">
        <v>0.65</v>
      </c>
      <c r="C34" s="45" t="inlineStr">
        <is>
          <t>%</t>
        </is>
      </c>
      <c r="D34" s="45" t="inlineStr">
        <is>
          <t>65%</t>
        </is>
      </c>
    </row>
    <row r="35" ht="15" customHeight="1" s="40">
      <c r="A35" s="45" t="inlineStr">
        <is>
          <t>Margen B2B objetivo</t>
        </is>
      </c>
      <c r="B35" s="46" t="n">
        <v>0.4</v>
      </c>
      <c r="C35" s="45" t="inlineStr">
        <is>
          <t>%</t>
        </is>
      </c>
      <c r="D35" s="45" t="inlineStr">
        <is>
          <t>40%</t>
        </is>
      </c>
    </row>
    <row r="36" ht="15" customHeight="1" s="40">
      <c r="A36" s="45" t="inlineStr">
        <is>
          <t>Margen promedio ponderado</t>
        </is>
      </c>
      <c r="B36" s="46" t="n">
        <v>0.35</v>
      </c>
      <c r="C36" s="45" t="inlineStr">
        <is>
          <t>%</t>
        </is>
      </c>
      <c r="D36" s="45" t="inlineStr">
        <is>
          <t>35% combinado</t>
        </is>
      </c>
    </row>
    <row r="37" ht="15" customHeight="1" s="40">
      <c r="A37" s="45" t="inlineStr">
        <is>
          <t>Ventas adicionales blends B2B</t>
        </is>
      </c>
      <c r="B37" s="46" t="n">
        <v>100000</v>
      </c>
      <c r="C37" s="45" t="inlineStr">
        <is>
          <t>USD</t>
        </is>
      </c>
      <c r="D37" s="45" t="inlineStr">
        <is>
          <t>Proyección</t>
        </is>
      </c>
    </row>
    <row r="38" ht="15" customHeight="1" s="40">
      <c r="A38" s="45" t="inlineStr">
        <is>
          <t>Costo materia prima varietal</t>
        </is>
      </c>
      <c r="B38" s="46" t="n">
        <v>10.75</v>
      </c>
      <c r="C38" s="45" t="inlineStr">
        <is>
          <t>USD/kg</t>
        </is>
      </c>
      <c r="D38" s="45" t="inlineStr">
        <is>
          <t>$43,000 COP</t>
        </is>
      </c>
    </row>
    <row r="39" ht="15" customHeight="1" s="40">
      <c r="A39" s="45" t="inlineStr">
        <is>
          <t>Costo empaque por kg</t>
        </is>
      </c>
      <c r="B39" s="46" t="n">
        <v>2.3</v>
      </c>
      <c r="C39" s="45" t="inlineStr">
        <is>
          <t>USD/kg</t>
        </is>
      </c>
      <c r="D39" s="45" t="inlineStr">
        <is>
          <t>Bolsa+válvula+etiqueta</t>
        </is>
      </c>
    </row>
    <row r="40" ht="15" customHeight="1" s="40">
      <c r="A40" s="45" t="inlineStr">
        <is>
          <t>Costo logística interna por kg</t>
        </is>
      </c>
      <c r="B40" s="46" t="n">
        <v>0.83</v>
      </c>
      <c r="C40" s="45" t="inlineStr">
        <is>
          <t>USD/kg</t>
        </is>
      </c>
      <c r="D40" s="45" t="inlineStr">
        <is>
          <t>MO + logística</t>
        </is>
      </c>
    </row>
    <row r="43" ht="15" customHeight="1" s="40">
      <c r="A43" s="43" t="inlineStr">
        <is>
          <t>4. CRAFT LAB</t>
        </is>
      </c>
    </row>
    <row r="44" ht="15" customHeight="1" s="40">
      <c r="A44" s="44" t="inlineStr">
        <is>
          <t>Variable</t>
        </is>
      </c>
      <c r="B44" s="44" t="inlineStr">
        <is>
          <t>Valor</t>
        </is>
      </c>
      <c r="C44" s="44" t="inlineStr">
        <is>
          <t>Unidad</t>
        </is>
      </c>
      <c r="D44" s="44" t="inlineStr">
        <is>
          <t>Notas</t>
        </is>
      </c>
    </row>
    <row r="45" ht="15" customHeight="1" s="40">
      <c r="A45" s="45" t="inlineStr">
        <is>
          <t>Clientes proyectados</t>
        </is>
      </c>
      <c r="B45" s="46" t="n">
        <v>5</v>
      </c>
      <c r="C45" s="45" t="inlineStr">
        <is>
          <t>clientes</t>
        </is>
      </c>
      <c r="D45" s="45" t="inlineStr">
        <is>
          <t>Prueba piloto</t>
        </is>
      </c>
    </row>
    <row r="46" ht="15" customHeight="1" s="40">
      <c r="A46" s="45" t="inlineStr">
        <is>
          <t>Cajas por cliente</t>
        </is>
      </c>
      <c r="B46" s="46" t="n">
        <v>10</v>
      </c>
      <c r="C46" s="45" t="inlineStr">
        <is>
          <t>cajas</t>
        </is>
      </c>
      <c r="D46" s="45" t="inlineStr">
        <is>
          <t>12.5 kg c/u</t>
        </is>
      </c>
    </row>
    <row r="47" ht="15" customHeight="1" s="40">
      <c r="A47" s="45" t="inlineStr">
        <is>
          <t>Precio servicio por cliente</t>
        </is>
      </c>
      <c r="B47" s="46" t="n">
        <v>3000</v>
      </c>
      <c r="C47" s="45" t="inlineStr">
        <is>
          <t>USD</t>
        </is>
      </c>
      <c r="D47" s="45" t="inlineStr">
        <is>
          <t>Incluye experiencia</t>
        </is>
      </c>
    </row>
    <row r="48" ht="15" customHeight="1" s="40">
      <c r="A48" s="45" t="inlineStr">
        <is>
          <t>Precio equivalente por libra</t>
        </is>
      </c>
      <c r="B48" s="46" t="n">
        <v>54</v>
      </c>
      <c r="C48" s="45" t="inlineStr">
        <is>
          <t>USD/lb</t>
        </is>
      </c>
      <c r="D48" s="45" t="inlineStr">
        <is>
          <t>Referencia</t>
        </is>
      </c>
    </row>
    <row r="49" ht="15" customHeight="1" s="40">
      <c r="A49" s="45" t="inlineStr">
        <is>
          <t>Costo producción (cajas dobles)</t>
        </is>
      </c>
      <c r="B49" s="46" t="n">
        <v>20</v>
      </c>
      <c r="C49" s="45" t="inlineStr">
        <is>
          <t>cajas</t>
        </is>
      </c>
      <c r="D49" s="45" t="inlineStr">
        <is>
          <t>Se producen 20 para entregar 10</t>
        </is>
      </c>
    </row>
    <row r="52" ht="15" customHeight="1" s="40">
      <c r="A52" s="43" t="inlineStr">
        <is>
          <t>5. COSTOS FIJOS MENSUALES</t>
        </is>
      </c>
    </row>
    <row r="53" ht="15" customHeight="1" s="40">
      <c r="A53" s="44" t="inlineStr">
        <is>
          <t>Variable</t>
        </is>
      </c>
      <c r="B53" s="44" t="inlineStr">
        <is>
          <t>Valor</t>
        </is>
      </c>
      <c r="C53" s="44" t="inlineStr">
        <is>
          <t>Unidad</t>
        </is>
      </c>
      <c r="D53" s="44" t="inlineStr">
        <is>
          <t>Notas</t>
        </is>
      </c>
    </row>
    <row r="54" ht="15" customHeight="1" s="40">
      <c r="A54" s="45" t="inlineStr">
        <is>
          <t>Contraprestación BloomsPal (COP)</t>
        </is>
      </c>
      <c r="B54" s="46" t="n">
        <v>1500000</v>
      </c>
      <c r="C54" s="45" t="inlineStr">
        <is>
          <t>COP/mes</t>
        </is>
      </c>
      <c r="D54" s="45" t="inlineStr">
        <is>
          <t>Sin IVA</t>
        </is>
      </c>
    </row>
    <row r="55" ht="15" customHeight="1" s="40">
      <c r="A55" s="45" t="inlineStr">
        <is>
          <t>IVA BloomsPal</t>
        </is>
      </c>
      <c r="B55" s="46" t="n">
        <v>0.19</v>
      </c>
      <c r="C55" s="45" t="inlineStr">
        <is>
          <t>%</t>
        </is>
      </c>
      <c r="D55" s="45" t="inlineStr">
        <is>
          <t>19%</t>
        </is>
      </c>
    </row>
    <row r="56" ht="15" customHeight="1" s="40">
      <c r="A56" s="45" t="inlineStr">
        <is>
          <t>Nómina administrativa</t>
        </is>
      </c>
      <c r="B56" s="46" t="n">
        <v>2000</v>
      </c>
      <c r="C56" s="45" t="inlineStr">
        <is>
          <t>USD/mes</t>
        </is>
      </c>
      <c r="D56" s="45" t="inlineStr">
        <is>
          <t>Estimado</t>
        </is>
      </c>
    </row>
    <row r="57" ht="15" customHeight="1" s="40">
      <c r="A57" s="45" t="inlineStr">
        <is>
          <t>Servicios y operación</t>
        </is>
      </c>
      <c r="B57" s="46" t="n">
        <v>500</v>
      </c>
      <c r="C57" s="45" t="inlineStr">
        <is>
          <t>USD/mes</t>
        </is>
      </c>
      <c r="D57" s="45" t="inlineStr">
        <is>
          <t>Estimado</t>
        </is>
      </c>
    </row>
    <row r="58" ht="15" customHeight="1" s="40">
      <c r="A58" s="45" t="inlineStr">
        <is>
          <t>Marketing y ventas</t>
        </is>
      </c>
      <c r="B58" s="46" t="n">
        <v>1000</v>
      </c>
      <c r="C58" s="45" t="inlineStr">
        <is>
          <t>USD/mes</t>
        </is>
      </c>
      <c r="D58" s="45" t="inlineStr">
        <is>
          <t>Estimado</t>
        </is>
      </c>
    </row>
    <row r="59" ht="15" customHeight="1" s="40">
      <c r="A59" s="45" t="inlineStr">
        <is>
          <t>Comisión comercial B2B</t>
        </is>
      </c>
      <c r="B59" s="46" t="n">
        <v>0.05</v>
      </c>
      <c r="C59" s="45" t="inlineStr">
        <is>
          <t>%</t>
        </is>
      </c>
      <c r="D59" s="45" t="inlineStr">
        <is>
          <t>5% si BloomsPal vincula cliente</t>
        </is>
      </c>
    </row>
    <row r="60" ht="15" customHeight="1" s="40">
      <c r="A60" s="45" t="inlineStr">
        <is>
          <t>Comisión logística variable</t>
        </is>
      </c>
      <c r="B60" s="46" t="n">
        <v>0.075</v>
      </c>
      <c r="C60" s="45" t="inlineStr">
        <is>
          <t>%</t>
        </is>
      </c>
      <c r="D60" s="45" t="inlineStr">
        <is>
          <t>7.5%</t>
        </is>
      </c>
    </row>
    <row r="63" ht="15" customHeight="1" s="40">
      <c r="A63" s="43" t="inlineStr">
        <is>
          <t>6. LOGÍSTICA INTERNACIONAL (USD)</t>
        </is>
      </c>
    </row>
    <row r="64" ht="15" customHeight="1" s="40">
      <c r="A64" s="44" t="inlineStr">
        <is>
          <t>Variable</t>
        </is>
      </c>
      <c r="B64" s="44" t="inlineStr">
        <is>
          <t>Valor</t>
        </is>
      </c>
      <c r="C64" s="44" t="inlineStr">
        <is>
          <t>Unidad</t>
        </is>
      </c>
      <c r="D64" s="44" t="inlineStr">
        <is>
          <t>Notas</t>
        </is>
      </c>
    </row>
    <row r="65" ht="15" customHeight="1" s="40">
      <c r="A65" s="45" t="inlineStr">
        <is>
          <t>Costo envío B2C (fijo por dirección)</t>
        </is>
      </c>
      <c r="B65" s="46" t="n">
        <v>8</v>
      </c>
      <c r="C65" s="45" t="inlineStr">
        <is>
          <t>USD</t>
        </is>
      </c>
      <c r="D65" s="45" t="inlineStr">
        <is>
          <t>Base</t>
        </is>
      </c>
    </row>
    <row r="66" ht="15" customHeight="1" s="40">
      <c r="A66" s="45" t="inlineStr">
        <is>
          <t>Costo envío B2C (por kg)</t>
        </is>
      </c>
      <c r="B66" s="46" t="n">
        <v>4</v>
      </c>
      <c r="C66" s="45" t="inlineStr">
        <is>
          <t>USD/kg</t>
        </is>
      </c>
      <c r="D66" s="45" t="inlineStr">
        <is>
          <t>Variable</t>
        </is>
      </c>
    </row>
    <row r="67" ht="15" customHeight="1" s="40">
      <c r="A67" s="45" t="inlineStr">
        <is>
          <t>Costo envío B2B (≥60kg) por libra</t>
        </is>
      </c>
      <c r="B67" s="46" t="n">
        <v>0.7</v>
      </c>
      <c r="C67" s="45" t="inlineStr">
        <is>
          <t>USD/lb</t>
        </is>
      </c>
      <c r="D67" s="45" t="inlineStr">
        <is>
          <t>Exportación formal</t>
        </is>
      </c>
    </row>
    <row r="68" ht="15" customHeight="1" s="40">
      <c r="A68" s="45" t="inlineStr">
        <is>
          <t>Umbral envío gratis B2C</t>
        </is>
      </c>
      <c r="B68" s="46" t="n">
        <v>50</v>
      </c>
      <c r="C68" s="45" t="inlineStr">
        <is>
          <t>USD</t>
        </is>
      </c>
      <c r="D68" s="45" t="inlineStr">
        <is>
          <t>Pedidos sobre este monto</t>
        </is>
      </c>
    </row>
    <row r="69" ht="15" customHeight="1" s="40">
      <c r="A69" s="45" t="inlineStr">
        <is>
          <t>Umbral envío gratis B2B</t>
        </is>
      </c>
      <c r="B69" s="46" t="n">
        <v>60</v>
      </c>
      <c r="C69" s="45" t="inlineStr">
        <is>
          <t>kg</t>
        </is>
      </c>
      <c r="D69" s="45" t="inlineStr">
        <is>
          <t>Pedidos sobre este peso</t>
        </is>
      </c>
    </row>
  </sheetData>
  <mergeCells count="8">
    <mergeCell ref="A4:D4"/>
    <mergeCell ref="A1:F1"/>
    <mergeCell ref="A20:D20"/>
    <mergeCell ref="A29:D29"/>
    <mergeCell ref="A52:D52"/>
    <mergeCell ref="A43:D43"/>
    <mergeCell ref="A63:D63"/>
    <mergeCell ref="A10:D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20" customWidth="1" style="40" min="1" max="1"/>
    <col width="18" customWidth="1" style="40" min="2" max="2"/>
    <col width="12" customWidth="1" style="40" min="3" max="3"/>
    <col width="12" customWidth="1" style="40" min="4" max="4"/>
    <col width="15" customWidth="1" style="40" min="5" max="5"/>
    <col width="12" customWidth="1" style="40" min="6" max="6"/>
    <col width="12" customWidth="1" style="40" min="7" max="7"/>
  </cols>
  <sheetData>
    <row r="1">
      <c r="A1" s="92" t="inlineStr">
        <is>
          <t>RESUMEN EJECUTIVO - PROGRAMA DE PATROCINIOS BEAT SERIES</t>
        </is>
      </c>
    </row>
    <row r="2">
      <c r="A2" s="93" t="inlineStr">
        <is>
          <t>La Palma y El Tucán - Proyección Financiera 2026-2028</t>
        </is>
      </c>
    </row>
    <row r="4">
      <c r="A4" s="79" t="inlineStr">
        <is>
          <t>1. CONCEPTO DEL PROGRAMA</t>
        </is>
      </c>
    </row>
    <row r="6">
      <c r="A6" s="94" t="inlineStr">
        <is>
          <t>El programa Beat Series es una estrategia de marketing basada en patrocinio de baristas competidores,</t>
        </is>
      </c>
    </row>
    <row r="7">
      <c r="A7" s="94" t="inlineStr">
        <is>
          <t>donde el café subsidiado actúa como inversión publicitaria de alto impacto en el segmento specialty.</t>
        </is>
      </c>
    </row>
    <row r="8">
      <c r="A8" s="94" t="inlineStr"/>
    </row>
    <row r="9">
      <c r="A9" s="94" t="inlineStr">
        <is>
          <t>Analogía: Similar a la inversión en F1 de fabricantes de autos - el 'costo' directo genera:</t>
        </is>
      </c>
    </row>
    <row r="10">
      <c r="A10" s="94" t="inlineStr">
        <is>
          <t xml:space="preserve">  • Prestigio de marca (efecto halo en ventas B2B/B2C)</t>
        </is>
      </c>
    </row>
    <row r="11">
      <c r="A11" s="94" t="inlineStr">
        <is>
          <t xml:space="preserve">  • Innovación técnica (nuevos procesos y variedades)</t>
        </is>
      </c>
    </row>
    <row r="12">
      <c r="A12" s="94" t="inlineStr">
        <is>
          <t xml:space="preserve">  • Posicionamiento premium global</t>
        </is>
      </c>
    </row>
    <row r="14">
      <c r="A14" s="79" t="inlineStr">
        <is>
          <t>2. ESTRUCTURA ESCALONADA DE PATROCINIO</t>
        </is>
      </c>
    </row>
    <row r="16">
      <c r="A16" s="95" t="inlineStr">
        <is>
          <t>Nivel</t>
        </is>
      </c>
      <c r="B16" s="95" t="inlineStr">
        <is>
          <t>Descripción</t>
        </is>
      </c>
      <c r="C16" s="95" t="inlineStr">
        <is>
          <t>Volumen</t>
        </is>
      </c>
      <c r="D16" s="95" t="inlineStr">
        <is>
          <t>Descuento</t>
        </is>
      </c>
      <c r="E16" s="95" t="inlineStr">
        <is>
          <t>Beneficios</t>
        </is>
      </c>
      <c r="F16" s="95" t="inlineStr">
        <is>
          <t>Año 1</t>
        </is>
      </c>
      <c r="G16" s="95" t="inlineStr">
        <is>
          <t>Inversión</t>
        </is>
      </c>
    </row>
    <row r="17">
      <c r="A17" s="96" t="inlineStr">
        <is>
          <t>N1</t>
        </is>
      </c>
      <c r="B17" s="96" t="inlineStr">
        <is>
          <t>Nacional</t>
        </is>
      </c>
      <c r="C17" s="96" t="inlineStr">
        <is>
          <t>20 kg</t>
        </is>
      </c>
      <c r="D17" s="96" t="inlineStr">
        <is>
          <t>30%</t>
        </is>
      </c>
      <c r="E17" s="96" t="inlineStr">
        <is>
          <t>Kit básico + Café</t>
        </is>
      </c>
      <c r="F17" s="96" t="inlineStr">
        <is>
          <t>5 comp.</t>
        </is>
      </c>
      <c r="G17" s="96" t="inlineStr">
        <is>
          <t>$3,307</t>
        </is>
      </c>
    </row>
    <row r="18">
      <c r="A18" s="96" t="inlineStr">
        <is>
          <t>N2A</t>
        </is>
      </c>
      <c r="B18" s="96" t="inlineStr">
        <is>
          <t>Mundial Lealtad</t>
        </is>
      </c>
      <c r="C18" s="96" t="inlineStr">
        <is>
          <t>50 kg</t>
        </is>
      </c>
      <c r="D18" s="96" t="inlineStr">
        <is>
          <t>100%</t>
        </is>
      </c>
      <c r="E18" s="96" t="inlineStr">
        <is>
          <t>Todo + Envío + Soporte</t>
        </is>
      </c>
      <c r="F18" s="96" t="inlineStr">
        <is>
          <t>1 comp.</t>
        </is>
      </c>
      <c r="G18" s="96" t="inlineStr">
        <is>
          <t>$5,512</t>
        </is>
      </c>
    </row>
    <row r="19">
      <c r="A19" s="96" t="inlineStr">
        <is>
          <t>N2B</t>
        </is>
      </c>
      <c r="B19" s="96" t="inlineStr">
        <is>
          <t>Mundial Nuevo</t>
        </is>
      </c>
      <c r="C19" s="96" t="inlineStr">
        <is>
          <t>50 kg</t>
        </is>
      </c>
      <c r="D19" s="96" t="inlineStr">
        <is>
          <t>70%</t>
        </is>
      </c>
      <c r="E19" s="96" t="inlineStr">
        <is>
          <t>Kit premium + Café</t>
        </is>
      </c>
      <c r="F19" s="96" t="inlineStr">
        <is>
          <t>1 comp.</t>
        </is>
      </c>
      <c r="G19" s="96" t="inlineStr">
        <is>
          <t>$3,858</t>
        </is>
      </c>
    </row>
    <row r="21">
      <c r="A21" s="79" t="inlineStr">
        <is>
          <t>3. MÉTRICAS FINANCIERAS CLAVE (3 AÑOS)</t>
        </is>
      </c>
    </row>
    <row r="24">
      <c r="A24" s="97" t="inlineStr">
        <is>
          <t>Métrica</t>
        </is>
      </c>
      <c r="B24" s="97" t="inlineStr">
        <is>
          <t>Año 1</t>
        </is>
      </c>
      <c r="C24" s="97" t="inlineStr">
        <is>
          <t>Año 2</t>
        </is>
      </c>
      <c r="D24" s="97" t="inlineStr">
        <is>
          <t>Año 3</t>
        </is>
      </c>
      <c r="E24" s="97" t="inlineStr">
        <is>
          <t>Total</t>
        </is>
      </c>
      <c r="F24" s="97" t="inlineStr">
        <is>
          <t>Objetivo</t>
        </is>
      </c>
      <c r="G24" s="97" t="inlineStr">
        <is>
          <t>Status</t>
        </is>
      </c>
    </row>
    <row r="25">
      <c r="A25" s="96" t="inlineStr">
        <is>
          <t>Inversión Total</t>
        </is>
      </c>
      <c r="B25" s="96" t="inlineStr">
        <is>
          <t>$18,426</t>
        </is>
      </c>
      <c r="C25" s="96" t="inlineStr">
        <is>
          <t>$18,426</t>
        </is>
      </c>
      <c r="D25" s="96" t="inlineStr">
        <is>
          <t>$24,995</t>
        </is>
      </c>
      <c r="E25" s="96" t="inlineStr">
        <is>
          <t>$61,848</t>
        </is>
      </c>
      <c r="F25" s="96" t="inlineStr">
        <is>
          <t>&lt;$25k/año</t>
        </is>
      </c>
      <c r="G25" s="98" t="inlineStr">
        <is>
          <t>✓</t>
        </is>
      </c>
    </row>
    <row r="26">
      <c r="A26" s="96" t="inlineStr">
        <is>
          <t>Volumen Subsidiado</t>
        </is>
      </c>
      <c r="B26" s="96" t="inlineStr">
        <is>
          <t>20%</t>
        </is>
      </c>
      <c r="C26" s="96" t="inlineStr">
        <is>
          <t>18.2%</t>
        </is>
      </c>
      <c r="D26" s="96" t="inlineStr">
        <is>
          <t>22.3%</t>
        </is>
      </c>
      <c r="E26" s="96" t="inlineStr">
        <is>
          <t>20.2%</t>
        </is>
      </c>
      <c r="F26" s="96" t="inlineStr">
        <is>
          <t>≤15%</t>
        </is>
      </c>
      <c r="G26" s="99" t="inlineStr">
        <is>
          <t>⚠</t>
        </is>
      </c>
    </row>
    <row r="27">
      <c r="A27" s="96" t="inlineStr">
        <is>
          <t>Precio Prom. $/lb</t>
        </is>
      </c>
      <c r="B27" s="96" t="inlineStr">
        <is>
          <t>$44.24</t>
        </is>
      </c>
      <c r="C27" s="96" t="inlineStr">
        <is>
          <t>$44.77</t>
        </is>
      </c>
      <c r="D27" s="96" t="inlineStr">
        <is>
          <t>$42.79</t>
        </is>
      </c>
      <c r="E27" s="96" t="inlineStr">
        <is>
          <t>$43.89</t>
        </is>
      </c>
      <c r="F27" s="96" t="inlineStr">
        <is>
          <t>≥$42</t>
        </is>
      </c>
      <c r="G27" s="98" t="inlineStr">
        <is>
          <t>✓</t>
        </is>
      </c>
    </row>
    <row r="28">
      <c r="A28" s="96" t="inlineStr">
        <is>
          <t>ROI Estimado</t>
        </is>
      </c>
      <c r="B28" s="96" t="inlineStr">
        <is>
          <t>1.08x</t>
        </is>
      </c>
      <c r="C28" s="96" t="inlineStr">
        <is>
          <t>1.49x</t>
        </is>
      </c>
      <c r="D28" s="96" t="inlineStr">
        <is>
          <t>1.68x</t>
        </is>
      </c>
      <c r="E28" s="96" t="inlineStr">
        <is>
          <t>1.45x</t>
        </is>
      </c>
      <c r="F28" s="96" t="inlineStr">
        <is>
          <t>&gt;1.0x</t>
        </is>
      </c>
      <c r="G28" s="98" t="inlineStr">
        <is>
          <t>✓</t>
        </is>
      </c>
    </row>
    <row r="29">
      <c r="A29" s="96" t="inlineStr">
        <is>
          <t>% de Ingresos LPET</t>
        </is>
      </c>
      <c r="B29" s="96" t="inlineStr">
        <is>
          <t>1.89%</t>
        </is>
      </c>
      <c r="C29" s="96" t="inlineStr">
        <is>
          <t>1.70%</t>
        </is>
      </c>
      <c r="D29" s="96" t="inlineStr">
        <is>
          <t>2.19%</t>
        </is>
      </c>
      <c r="E29" s="96" t="inlineStr">
        <is>
          <t>1.92%</t>
        </is>
      </c>
      <c r="F29" s="96" t="inlineStr">
        <is>
          <t>&lt;3%</t>
        </is>
      </c>
      <c r="G29" s="98" t="inlineStr">
        <is>
          <t>✓</t>
        </is>
      </c>
    </row>
    <row r="31">
      <c r="A31" s="79" t="inlineStr">
        <is>
          <t>4. IMPACTO ESTRATÉGICO ESPERADO</t>
        </is>
      </c>
    </row>
    <row r="34">
      <c r="A34" s="97" t="inlineStr">
        <is>
          <t>KPI</t>
        </is>
      </c>
      <c r="B34" s="97" t="inlineStr">
        <is>
          <t>Año 1</t>
        </is>
      </c>
      <c r="C34" s="97" t="inlineStr">
        <is>
          <t>Año 2</t>
        </is>
      </c>
      <c r="D34" s="97" t="inlineStr">
        <is>
          <t>Año 3</t>
        </is>
      </c>
      <c r="E34" s="97" t="inlineStr">
        <is>
          <t>Meta</t>
        </is>
      </c>
    </row>
    <row r="35">
      <c r="A35" s="96" t="inlineStr">
        <is>
          <t>Valor Publicitario (AVE)</t>
        </is>
      </c>
      <c r="B35" s="96" t="inlineStr">
        <is>
          <t>$25,000</t>
        </is>
      </c>
      <c r="C35" s="96" t="inlineStr">
        <is>
          <t>$35,000</t>
        </is>
      </c>
      <c r="D35" s="96" t="inlineStr">
        <is>
          <t>$50,000</t>
        </is>
      </c>
      <c r="E35" s="96" t="inlineStr">
        <is>
          <t>&gt;$20k</t>
        </is>
      </c>
    </row>
    <row r="36">
      <c r="A36" s="96" t="inlineStr">
        <is>
          <t>Alcance Redes Sociales</t>
        </is>
      </c>
      <c r="B36" s="96" t="inlineStr">
        <is>
          <t>50,000</t>
        </is>
      </c>
      <c r="C36" s="96" t="inlineStr">
        <is>
          <t>100,000</t>
        </is>
      </c>
      <c r="D36" s="96" t="inlineStr">
        <is>
          <t>200,000</t>
        </is>
      </c>
      <c r="E36" s="96" t="inlineStr">
        <is>
          <t>Creciente</t>
        </is>
      </c>
    </row>
    <row r="37">
      <c r="A37" s="96" t="inlineStr">
        <is>
          <t>Cobertura Mediática</t>
        </is>
      </c>
      <c r="B37" s="96" t="inlineStr">
        <is>
          <t>2 medios</t>
        </is>
      </c>
      <c r="C37" s="96" t="inlineStr">
        <is>
          <t>3 medios</t>
        </is>
      </c>
      <c r="D37" s="96" t="inlineStr">
        <is>
          <t>5 medios</t>
        </is>
      </c>
      <c r="E37" s="96" t="inlineStr">
        <is>
          <t>≥3</t>
        </is>
      </c>
    </row>
    <row r="38">
      <c r="A38" s="96" t="inlineStr">
        <is>
          <t>Regiones Geográficas</t>
        </is>
      </c>
      <c r="B38" s="96" t="inlineStr">
        <is>
          <t>2</t>
        </is>
      </c>
      <c r="C38" s="96" t="inlineStr">
        <is>
          <t>3</t>
        </is>
      </c>
      <c r="D38" s="96" t="inlineStr">
        <is>
          <t>4</t>
        </is>
      </c>
      <c r="E38" s="96" t="inlineStr">
        <is>
          <t>3 continentes</t>
        </is>
      </c>
    </row>
    <row r="39">
      <c r="A39" s="96" t="inlineStr">
        <is>
          <t>Competidores Top 6 WBC</t>
        </is>
      </c>
      <c r="B39" s="96" t="inlineStr">
        <is>
          <t>1</t>
        </is>
      </c>
      <c r="C39" s="96" t="inlineStr">
        <is>
          <t>1</t>
        </is>
      </c>
      <c r="D39" s="96" t="inlineStr">
        <is>
          <t>2</t>
        </is>
      </c>
      <c r="E39" s="96" t="inlineStr">
        <is>
          <t>≥1/año</t>
        </is>
      </c>
    </row>
    <row r="40">
      <c r="A40" s="96" t="inlineStr">
        <is>
          <t>Ventas Incrementales B2B</t>
        </is>
      </c>
      <c r="B40" s="96" t="inlineStr">
        <is>
          <t>$15,000</t>
        </is>
      </c>
      <c r="C40" s="96" t="inlineStr">
        <is>
          <t>$20,000</t>
        </is>
      </c>
      <c r="D40" s="96" t="inlineStr">
        <is>
          <t>$30,000</t>
        </is>
      </c>
      <c r="E40" s="96" t="inlineStr">
        <is>
          <t>+10-20%</t>
        </is>
      </c>
    </row>
    <row r="42">
      <c r="A42" s="79" t="inlineStr">
        <is>
          <t>5. RECOMENDACIONES</t>
        </is>
      </c>
    </row>
    <row r="44">
      <c r="A44" t="inlineStr"/>
    </row>
    <row r="45">
      <c r="A45" s="100" t="inlineStr">
        <is>
          <t>✓ INICIAR con escenario CONSERVADOR: 3 nacionales + 1 mundial = 110 kg (11%)</t>
        </is>
      </c>
    </row>
    <row r="46">
      <c r="A46" s="100" t="inlineStr">
        <is>
          <t>✓ ESCALAR a escenario Moderado en Año 2 solo si precio ponderado ≥ $44/lb</t>
        </is>
      </c>
    </row>
    <row r="47">
      <c r="A47" s="100" t="inlineStr">
        <is>
          <t>✓ MONITOREAR el límite de 15% del volumen como techo máximo absoluto</t>
        </is>
      </c>
    </row>
    <row r="48">
      <c r="A48" s="100" t="inlineStr">
        <is>
          <t>✓ MEDIR el ROI cualitativo (AVE, cobertura mediática) trimestralmente</t>
        </is>
      </c>
    </row>
    <row r="49">
      <c r="A49" s="100" t="inlineStr">
        <is>
          <t>✓ DOCUMENTAR casos de éxito para amplificar el efecto halo</t>
        </is>
      </c>
    </row>
    <row r="50">
      <c r="A50" t="inlineStr"/>
    </row>
    <row r="51">
      <c r="A51" s="101" t="inlineStr">
        <is>
          <t>⚠ ALERTA: El escenario actual (20%) excede el límite recomendado de 15%.</t>
        </is>
      </c>
    </row>
    <row r="52">
      <c r="A52" t="inlineStr">
        <is>
          <t xml:space="preserve">   Considerar reducir N1 a 3 competidores o N2B a 0 para el Año 1.</t>
        </is>
      </c>
    </row>
  </sheetData>
  <mergeCells count="16">
    <mergeCell ref="A14:G14"/>
    <mergeCell ref="A44:G44"/>
    <mergeCell ref="A1:G1"/>
    <mergeCell ref="A51:G51"/>
    <mergeCell ref="A45:G45"/>
    <mergeCell ref="A31:G31"/>
    <mergeCell ref="A21:G21"/>
    <mergeCell ref="A50:G50"/>
    <mergeCell ref="A4:G4"/>
    <mergeCell ref="A48:G48"/>
    <mergeCell ref="A2:G2"/>
    <mergeCell ref="A52:G52"/>
    <mergeCell ref="A49:G49"/>
    <mergeCell ref="A47:G47"/>
    <mergeCell ref="A42:G42"/>
    <mergeCell ref="A46:G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9" min="1" max="1"/>
    <col width="12" customWidth="1" style="39" min="2" max="14"/>
  </cols>
  <sheetData>
    <row r="1" ht="17.35" customHeight="1" s="40">
      <c r="A1" s="41" t="inlineStr">
        <is>
          <t>ESTADO DE PÉRDIDAS Y GANANCIAS 2026</t>
        </is>
      </c>
    </row>
    <row r="3" ht="15" customHeight="1" s="40">
      <c r="A3" s="47" t="inlineStr">
        <is>
          <t>Concepto</t>
        </is>
      </c>
      <c r="B3" s="48" t="inlineStr">
        <is>
          <t>Ene</t>
        </is>
      </c>
      <c r="C3" s="48" t="inlineStr">
        <is>
          <t>Feb</t>
        </is>
      </c>
      <c r="D3" s="48" t="inlineStr">
        <is>
          <t>Mar</t>
        </is>
      </c>
      <c r="E3" s="48" t="inlineStr">
        <is>
          <t>Abr</t>
        </is>
      </c>
      <c r="F3" s="48" t="inlineStr">
        <is>
          <t>May</t>
        </is>
      </c>
      <c r="G3" s="48" t="inlineStr">
        <is>
          <t>Jun</t>
        </is>
      </c>
      <c r="H3" s="48" t="inlineStr">
        <is>
          <t>Jul</t>
        </is>
      </c>
      <c r="I3" s="48" t="inlineStr">
        <is>
          <t>Ago</t>
        </is>
      </c>
      <c r="J3" s="48" t="inlineStr">
        <is>
          <t>Sep</t>
        </is>
      </c>
      <c r="K3" s="48" t="inlineStr">
        <is>
          <t>Oct</t>
        </is>
      </c>
      <c r="L3" s="48" t="inlineStr">
        <is>
          <t>Nov</t>
        </is>
      </c>
      <c r="M3" s="48" t="inlineStr">
        <is>
          <t>Dic</t>
        </is>
      </c>
      <c r="N3" s="48" t="inlineStr">
        <is>
          <t>TOTAL</t>
        </is>
      </c>
    </row>
    <row r="4" ht="15" customHeight="1" s="40">
      <c r="A4" s="49" t="inlineStr">
        <is>
          <t>INGRESOS</t>
        </is>
      </c>
    </row>
    <row r="5" ht="15" customHeight="1" s="40">
      <c r="A5" s="39" t="inlineStr">
        <is>
          <t xml:space="preserve">  Café Verde - Venta Directa</t>
        </is>
      </c>
      <c r="B5" s="50">
        <f>Supuestos!$B$12*Supuestos!$B$13*Supuestos!$B$14*Supuestos!$B$15/12</f>
        <v/>
      </c>
      <c r="C5" s="50">
        <f>Supuestos!$B$12*Supuestos!$B$13*Supuestos!$B$14*Supuestos!$B$15/12</f>
        <v/>
      </c>
      <c r="D5" s="50">
        <f>Supuestos!$B$12*Supuestos!$B$13*Supuestos!$B$14*Supuestos!$B$15/12</f>
        <v/>
      </c>
      <c r="E5" s="50">
        <f>Supuestos!$B$12*Supuestos!$B$13*Supuestos!$B$14*Supuestos!$B$15/12</f>
        <v/>
      </c>
      <c r="F5" s="50">
        <f>Supuestos!$B$12*Supuestos!$B$13*Supuestos!$B$14*Supuestos!$B$15/12</f>
        <v/>
      </c>
      <c r="G5" s="50">
        <f>Supuestos!$B$12*Supuestos!$B$13*Supuestos!$B$14*Supuestos!$B$15/12</f>
        <v/>
      </c>
      <c r="H5" s="50">
        <f>Supuestos!$B$12*Supuestos!$B$13*Supuestos!$B$14*Supuestos!$B$15/12</f>
        <v/>
      </c>
      <c r="I5" s="50">
        <f>Supuestos!$B$12*Supuestos!$B$13*Supuestos!$B$14*Supuestos!$B$15/12</f>
        <v/>
      </c>
      <c r="J5" s="50">
        <f>Supuestos!$B$12*Supuestos!$B$13*Supuestos!$B$14*Supuestos!$B$15/12</f>
        <v/>
      </c>
      <c r="K5" s="50">
        <f>Supuestos!$B$12*Supuestos!$B$13*Supuestos!$B$14*Supuestos!$B$15/12</f>
        <v/>
      </c>
      <c r="L5" s="50">
        <f>Supuestos!$B$12*Supuestos!$B$13*Supuestos!$B$14*Supuestos!$B$15/12</f>
        <v/>
      </c>
      <c r="M5" s="50">
        <f>Supuestos!$B$12*Supuestos!$B$13*Supuestos!$B$14*Supuestos!$B$15/12</f>
        <v/>
      </c>
      <c r="N5" s="51">
        <f>SUM(B5:M5)</f>
        <v/>
      </c>
    </row>
    <row r="6" ht="15" customHeight="1" s="40">
      <c r="A6" s="39" t="inlineStr">
        <is>
          <t xml:space="preserve">  Café Verde - Neighbors &amp; Crops</t>
        </is>
      </c>
      <c r="B6" s="50">
        <f>Supuestos!$B$22*Supuestos!$B$23*Supuestos!$B$24/12</f>
        <v/>
      </c>
      <c r="C6" s="50">
        <f>Supuestos!$B$22*Supuestos!$B$23*Supuestos!$B$24/12</f>
        <v/>
      </c>
      <c r="D6" s="50">
        <f>Supuestos!$B$22*Supuestos!$B$23*Supuestos!$B$24/12</f>
        <v/>
      </c>
      <c r="E6" s="50">
        <f>Supuestos!$B$22*Supuestos!$B$23*Supuestos!$B$24/12</f>
        <v/>
      </c>
      <c r="F6" s="50">
        <f>Supuestos!$B$22*Supuestos!$B$23*Supuestos!$B$24/12</f>
        <v/>
      </c>
      <c r="G6" s="50">
        <f>Supuestos!$B$22*Supuestos!$B$23*Supuestos!$B$24/12</f>
        <v/>
      </c>
      <c r="H6" s="50">
        <f>Supuestos!$B$22*Supuestos!$B$23*Supuestos!$B$24/12</f>
        <v/>
      </c>
      <c r="I6" s="50">
        <f>Supuestos!$B$22*Supuestos!$B$23*Supuestos!$B$24/12</f>
        <v/>
      </c>
      <c r="J6" s="50">
        <f>Supuestos!$B$22*Supuestos!$B$23*Supuestos!$B$24/12</f>
        <v/>
      </c>
      <c r="K6" s="50">
        <f>Supuestos!$B$22*Supuestos!$B$23*Supuestos!$B$24/12</f>
        <v/>
      </c>
      <c r="L6" s="50">
        <f>Supuestos!$B$22*Supuestos!$B$23*Supuestos!$B$24/12</f>
        <v/>
      </c>
      <c r="M6" s="50">
        <f>Supuestos!$B$22*Supuestos!$B$23*Supuestos!$B$24/12</f>
        <v/>
      </c>
      <c r="N6" s="51">
        <f>SUM(B6:M6)</f>
        <v/>
      </c>
    </row>
    <row r="7" ht="15" customHeight="1" s="40">
      <c r="A7" s="39" t="inlineStr">
        <is>
          <t xml:space="preserve">  Café Tostado - Varietales</t>
        </is>
      </c>
      <c r="B7" s="50">
        <f>Supuestos!$B$31*Supuestos!$B$13*(1-Supuestos!$B$32)*Supuestos!$B$14*Supuestos!$B$33/12</f>
        <v/>
      </c>
      <c r="C7" s="50">
        <f>Supuestos!$B$31*Supuestos!$B$13*(1-Supuestos!$B$32)*Supuestos!$B$14*Supuestos!$B$33/12</f>
        <v/>
      </c>
      <c r="D7" s="50">
        <f>Supuestos!$B$31*Supuestos!$B$13*(1-Supuestos!$B$32)*Supuestos!$B$14*Supuestos!$B$33/12</f>
        <v/>
      </c>
      <c r="E7" s="50">
        <f>Supuestos!$B$31*Supuestos!$B$13*(1-Supuestos!$B$32)*Supuestos!$B$14*Supuestos!$B$33/12</f>
        <v/>
      </c>
      <c r="F7" s="50">
        <f>Supuestos!$B$31*Supuestos!$B$13*(1-Supuestos!$B$32)*Supuestos!$B$14*Supuestos!$B$33/12</f>
        <v/>
      </c>
      <c r="G7" s="50">
        <f>Supuestos!$B$31*Supuestos!$B$13*(1-Supuestos!$B$32)*Supuestos!$B$14*Supuestos!$B$33/12</f>
        <v/>
      </c>
      <c r="H7" s="50">
        <f>Supuestos!$B$31*Supuestos!$B$13*(1-Supuestos!$B$32)*Supuestos!$B$14*Supuestos!$B$33/12</f>
        <v/>
      </c>
      <c r="I7" s="50">
        <f>Supuestos!$B$31*Supuestos!$B$13*(1-Supuestos!$B$32)*Supuestos!$B$14*Supuestos!$B$33/12</f>
        <v/>
      </c>
      <c r="J7" s="50">
        <f>Supuestos!$B$31*Supuestos!$B$13*(1-Supuestos!$B$32)*Supuestos!$B$14*Supuestos!$B$33/12</f>
        <v/>
      </c>
      <c r="K7" s="50">
        <f>Supuestos!$B$31*Supuestos!$B$13*(1-Supuestos!$B$32)*Supuestos!$B$14*Supuestos!$B$33/12</f>
        <v/>
      </c>
      <c r="L7" s="50">
        <f>Supuestos!$B$31*Supuestos!$B$13*(1-Supuestos!$B$32)*Supuestos!$B$14*Supuestos!$B$33/12</f>
        <v/>
      </c>
      <c r="M7" s="50">
        <f>Supuestos!$B$31*Supuestos!$B$13*(1-Supuestos!$B$32)*Supuestos!$B$14*Supuestos!$B$33/12</f>
        <v/>
      </c>
      <c r="N7" s="51">
        <f>SUM(B7:M7)</f>
        <v/>
      </c>
    </row>
    <row r="8" ht="15" customHeight="1" s="40">
      <c r="A8" s="39" t="inlineStr">
        <is>
          <t xml:space="preserve">  Café Tostado - Blends/B2B</t>
        </is>
      </c>
      <c r="B8" s="50">
        <f>Supuestos!$B$37/12</f>
        <v/>
      </c>
      <c r="C8" s="50">
        <f>Supuestos!$B$37/12</f>
        <v/>
      </c>
      <c r="D8" s="50">
        <f>Supuestos!$B$37/12</f>
        <v/>
      </c>
      <c r="E8" s="50">
        <f>Supuestos!$B$37/12</f>
        <v/>
      </c>
      <c r="F8" s="50">
        <f>Supuestos!$B$37/12</f>
        <v/>
      </c>
      <c r="G8" s="50">
        <f>Supuestos!$B$37/12</f>
        <v/>
      </c>
      <c r="H8" s="50">
        <f>Supuestos!$B$37/12</f>
        <v/>
      </c>
      <c r="I8" s="50">
        <f>Supuestos!$B$37/12</f>
        <v/>
      </c>
      <c r="J8" s="50">
        <f>Supuestos!$B$37/12</f>
        <v/>
      </c>
      <c r="K8" s="50">
        <f>Supuestos!$B$37/12</f>
        <v/>
      </c>
      <c r="L8" s="50">
        <f>Supuestos!$B$37/12</f>
        <v/>
      </c>
      <c r="M8" s="50">
        <f>Supuestos!$B$37/12</f>
        <v/>
      </c>
      <c r="N8" s="51">
        <f>SUM(B8:M8)</f>
        <v/>
      </c>
    </row>
    <row r="9" ht="15" customHeight="1" s="40">
      <c r="A9" s="39" t="inlineStr">
        <is>
          <t xml:space="preserve">  Craft Lab</t>
        </is>
      </c>
      <c r="B9" s="50">
        <f>Supuestos!$B$45*Supuestos!$B$47/12</f>
        <v/>
      </c>
      <c r="C9" s="50">
        <f>Supuestos!$B$45*Supuestos!$B$47/12</f>
        <v/>
      </c>
      <c r="D9" s="50">
        <f>Supuestos!$B$45*Supuestos!$B$47/12</f>
        <v/>
      </c>
      <c r="E9" s="50">
        <f>Supuestos!$B$45*Supuestos!$B$47/12</f>
        <v/>
      </c>
      <c r="F9" s="50">
        <f>Supuestos!$B$45*Supuestos!$B$47/12</f>
        <v/>
      </c>
      <c r="G9" s="50">
        <f>Supuestos!$B$45*Supuestos!$B$47/12</f>
        <v/>
      </c>
      <c r="H9" s="50">
        <f>Supuestos!$B$45*Supuestos!$B$47/12</f>
        <v/>
      </c>
      <c r="I9" s="50">
        <f>Supuestos!$B$45*Supuestos!$B$47/12</f>
        <v/>
      </c>
      <c r="J9" s="50">
        <f>Supuestos!$B$45*Supuestos!$B$47/12</f>
        <v/>
      </c>
      <c r="K9" s="50">
        <f>Supuestos!$B$45*Supuestos!$B$47/12</f>
        <v/>
      </c>
      <c r="L9" s="50">
        <f>Supuestos!$B$45*Supuestos!$B$47/12</f>
        <v/>
      </c>
      <c r="M9" s="50">
        <f>Supuestos!$B$45*Supuestos!$B$47/12</f>
        <v/>
      </c>
      <c r="N9" s="51">
        <f>SUM(B9:M9)</f>
        <v/>
      </c>
    </row>
    <row r="10" ht="15" customHeight="1" s="40">
      <c r="A10" s="52" t="inlineStr">
        <is>
          <t>TOTAL INGRESOS</t>
        </is>
      </c>
      <c r="B10" s="53">
        <f>SUM(B5:B9)</f>
        <v/>
      </c>
      <c r="C10" s="53">
        <f>SUM(C5:C9)</f>
        <v/>
      </c>
      <c r="D10" s="53">
        <f>SUM(D5:D9)</f>
        <v/>
      </c>
      <c r="E10" s="53">
        <f>SUM(E5:E9)</f>
        <v/>
      </c>
      <c r="F10" s="53">
        <f>SUM(F5:F9)</f>
        <v/>
      </c>
      <c r="G10" s="53">
        <f>SUM(G5:G9)</f>
        <v/>
      </c>
      <c r="H10" s="53">
        <f>SUM(H5:H9)</f>
        <v/>
      </c>
      <c r="I10" s="53">
        <f>SUM(I5:I9)</f>
        <v/>
      </c>
      <c r="J10" s="53">
        <f>SUM(J5:J9)</f>
        <v/>
      </c>
      <c r="K10" s="53">
        <f>SUM(K5:K9)</f>
        <v/>
      </c>
      <c r="L10" s="53">
        <f>SUM(L5:L9)</f>
        <v/>
      </c>
      <c r="M10" s="53">
        <f>SUM(M5:M9)</f>
        <v/>
      </c>
      <c r="N10" s="53">
        <f>SUM(N5:N9)</f>
        <v/>
      </c>
    </row>
    <row r="12" ht="15" customHeight="1" s="40">
      <c r="A12" s="54" t="inlineStr">
        <is>
          <t>COSTOS DIRECTOS</t>
        </is>
      </c>
    </row>
    <row r="13" ht="15" customHeight="1" s="40">
      <c r="A13" s="39" t="inlineStr">
        <is>
          <t xml:space="preserve">  Costo Café Verde - Venta Directa</t>
        </is>
      </c>
      <c r="B13" s="50">
        <f>Supuestos!$B$12*Supuestos!$B$13*Supuestos!$B$14*Supuestos!$B$16/12</f>
        <v/>
      </c>
      <c r="C13" s="50">
        <f>Supuestos!$B$12*Supuestos!$B$13*Supuestos!$B$14*Supuestos!$B$16/12</f>
        <v/>
      </c>
      <c r="D13" s="50">
        <f>Supuestos!$B$12*Supuestos!$B$13*Supuestos!$B$14*Supuestos!$B$16/12</f>
        <v/>
      </c>
      <c r="E13" s="50">
        <f>Supuestos!$B$12*Supuestos!$B$13*Supuestos!$B$14*Supuestos!$B$16/12</f>
        <v/>
      </c>
      <c r="F13" s="50">
        <f>Supuestos!$B$12*Supuestos!$B$13*Supuestos!$B$14*Supuestos!$B$16/12</f>
        <v/>
      </c>
      <c r="G13" s="50">
        <f>Supuestos!$B$12*Supuestos!$B$13*Supuestos!$B$14*Supuestos!$B$16/12</f>
        <v/>
      </c>
      <c r="H13" s="50">
        <f>Supuestos!$B$12*Supuestos!$B$13*Supuestos!$B$14*Supuestos!$B$16/12</f>
        <v/>
      </c>
      <c r="I13" s="50">
        <f>Supuestos!$B$12*Supuestos!$B$13*Supuestos!$B$14*Supuestos!$B$16/12</f>
        <v/>
      </c>
      <c r="J13" s="50">
        <f>Supuestos!$B$12*Supuestos!$B$13*Supuestos!$B$14*Supuestos!$B$16/12</f>
        <v/>
      </c>
      <c r="K13" s="50">
        <f>Supuestos!$B$12*Supuestos!$B$13*Supuestos!$B$14*Supuestos!$B$16/12</f>
        <v/>
      </c>
      <c r="L13" s="50">
        <f>Supuestos!$B$12*Supuestos!$B$13*Supuestos!$B$14*Supuestos!$B$16/12</f>
        <v/>
      </c>
      <c r="M13" s="50">
        <f>Supuestos!$B$12*Supuestos!$B$13*Supuestos!$B$14*Supuestos!$B$16/12</f>
        <v/>
      </c>
      <c r="N13" s="51">
        <f>SUM(B13:M13)</f>
        <v/>
      </c>
    </row>
    <row r="14" ht="15" customHeight="1" s="40">
      <c r="A14" s="39" t="inlineStr">
        <is>
          <t xml:space="preserve">  Costo Café Verde - Neighbors</t>
        </is>
      </c>
      <c r="B14" s="50">
        <f>Supuestos!$B$22*Supuestos!$B$23*Supuestos!$B$25/12</f>
        <v/>
      </c>
      <c r="C14" s="50">
        <f>Supuestos!$B$22*Supuestos!$B$23*Supuestos!$B$25/12</f>
        <v/>
      </c>
      <c r="D14" s="50">
        <f>Supuestos!$B$22*Supuestos!$B$23*Supuestos!$B$25/12</f>
        <v/>
      </c>
      <c r="E14" s="50">
        <f>Supuestos!$B$22*Supuestos!$B$23*Supuestos!$B$25/12</f>
        <v/>
      </c>
      <c r="F14" s="50">
        <f>Supuestos!$B$22*Supuestos!$B$23*Supuestos!$B$25/12</f>
        <v/>
      </c>
      <c r="G14" s="50">
        <f>Supuestos!$B$22*Supuestos!$B$23*Supuestos!$B$25/12</f>
        <v/>
      </c>
      <c r="H14" s="50">
        <f>Supuestos!$B$22*Supuestos!$B$23*Supuestos!$B$25/12</f>
        <v/>
      </c>
      <c r="I14" s="50">
        <f>Supuestos!$B$22*Supuestos!$B$23*Supuestos!$B$25/12</f>
        <v/>
      </c>
      <c r="J14" s="50">
        <f>Supuestos!$B$22*Supuestos!$B$23*Supuestos!$B$25/12</f>
        <v/>
      </c>
      <c r="K14" s="50">
        <f>Supuestos!$B$22*Supuestos!$B$23*Supuestos!$B$25/12</f>
        <v/>
      </c>
      <c r="L14" s="50">
        <f>Supuestos!$B$22*Supuestos!$B$23*Supuestos!$B$25/12</f>
        <v/>
      </c>
      <c r="M14" s="50">
        <f>Supuestos!$B$22*Supuestos!$B$23*Supuestos!$B$25/12</f>
        <v/>
      </c>
      <c r="N14" s="51">
        <f>SUM(B14:M14)</f>
        <v/>
      </c>
    </row>
    <row r="15" ht="15" customHeight="1" s="40">
      <c r="A15" s="39" t="inlineStr">
        <is>
          <t xml:space="preserve">  Costo Tostado - Materia Prima</t>
        </is>
      </c>
      <c r="B15" s="50">
        <f>(Supuestos!$B$31*Supuestos!$B$13*Supuestos!$B$38+Supuestos!$B$37*(1-Supuestos!$B$36))/12</f>
        <v/>
      </c>
      <c r="C15" s="50">
        <f>(Supuestos!$B$31*Supuestos!$B$13*Supuestos!$B$38+Supuestos!$B$37*(1-Supuestos!$B$36))/12</f>
        <v/>
      </c>
      <c r="D15" s="50">
        <f>(Supuestos!$B$31*Supuestos!$B$13*Supuestos!$B$38+Supuestos!$B$37*(1-Supuestos!$B$36))/12</f>
        <v/>
      </c>
      <c r="E15" s="50">
        <f>(Supuestos!$B$31*Supuestos!$B$13*Supuestos!$B$38+Supuestos!$B$37*(1-Supuestos!$B$36))/12</f>
        <v/>
      </c>
      <c r="F15" s="50">
        <f>(Supuestos!$B$31*Supuestos!$B$13*Supuestos!$B$38+Supuestos!$B$37*(1-Supuestos!$B$36))/12</f>
        <v/>
      </c>
      <c r="G15" s="50">
        <f>(Supuestos!$B$31*Supuestos!$B$13*Supuestos!$B$38+Supuestos!$B$37*(1-Supuestos!$B$36))/12</f>
        <v/>
      </c>
      <c r="H15" s="50">
        <f>(Supuestos!$B$31*Supuestos!$B$13*Supuestos!$B$38+Supuestos!$B$37*(1-Supuestos!$B$36))/12</f>
        <v/>
      </c>
      <c r="I15" s="50">
        <f>(Supuestos!$B$31*Supuestos!$B$13*Supuestos!$B$38+Supuestos!$B$37*(1-Supuestos!$B$36))/12</f>
        <v/>
      </c>
      <c r="J15" s="50">
        <f>(Supuestos!$B$31*Supuestos!$B$13*Supuestos!$B$38+Supuestos!$B$37*(1-Supuestos!$B$36))/12</f>
        <v/>
      </c>
      <c r="K15" s="50">
        <f>(Supuestos!$B$31*Supuestos!$B$13*Supuestos!$B$38+Supuestos!$B$37*(1-Supuestos!$B$36))/12</f>
        <v/>
      </c>
      <c r="L15" s="50">
        <f>(Supuestos!$B$31*Supuestos!$B$13*Supuestos!$B$38+Supuestos!$B$37*(1-Supuestos!$B$36))/12</f>
        <v/>
      </c>
      <c r="M15" s="50">
        <f>(Supuestos!$B$31*Supuestos!$B$13*Supuestos!$B$38+Supuestos!$B$37*(1-Supuestos!$B$36))/12</f>
        <v/>
      </c>
      <c r="N15" s="51">
        <f>SUM(B15:M15)</f>
        <v/>
      </c>
    </row>
    <row r="16" ht="15" customHeight="1" s="40">
      <c r="A16" s="39" t="inlineStr">
        <is>
          <t xml:space="preserve">  Costo Empaque y Logística Tostado</t>
        </is>
      </c>
      <c r="B16" s="50">
        <f>Supuestos!$B$31*Supuestos!$B$13*(Supuestos!$B$39+Supuestos!$B$40)/12</f>
        <v/>
      </c>
      <c r="C16" s="50">
        <f>Supuestos!$B$31*Supuestos!$B$13*(Supuestos!$B$39+Supuestos!$B$40)/12</f>
        <v/>
      </c>
      <c r="D16" s="50">
        <f>Supuestos!$B$31*Supuestos!$B$13*(Supuestos!$B$39+Supuestos!$B$40)/12</f>
        <v/>
      </c>
      <c r="E16" s="50">
        <f>Supuestos!$B$31*Supuestos!$B$13*(Supuestos!$B$39+Supuestos!$B$40)/12</f>
        <v/>
      </c>
      <c r="F16" s="50">
        <f>Supuestos!$B$31*Supuestos!$B$13*(Supuestos!$B$39+Supuestos!$B$40)/12</f>
        <v/>
      </c>
      <c r="G16" s="50">
        <f>Supuestos!$B$31*Supuestos!$B$13*(Supuestos!$B$39+Supuestos!$B$40)/12</f>
        <v/>
      </c>
      <c r="H16" s="50">
        <f>Supuestos!$B$31*Supuestos!$B$13*(Supuestos!$B$39+Supuestos!$B$40)/12</f>
        <v/>
      </c>
      <c r="I16" s="50">
        <f>Supuestos!$B$31*Supuestos!$B$13*(Supuestos!$B$39+Supuestos!$B$40)/12</f>
        <v/>
      </c>
      <c r="J16" s="50">
        <f>Supuestos!$B$31*Supuestos!$B$13*(Supuestos!$B$39+Supuestos!$B$40)/12</f>
        <v/>
      </c>
      <c r="K16" s="50">
        <f>Supuestos!$B$31*Supuestos!$B$13*(Supuestos!$B$39+Supuestos!$B$40)/12</f>
        <v/>
      </c>
      <c r="L16" s="50">
        <f>Supuestos!$B$31*Supuestos!$B$13*(Supuestos!$B$39+Supuestos!$B$40)/12</f>
        <v/>
      </c>
      <c r="M16" s="50">
        <f>Supuestos!$B$31*Supuestos!$B$13*(Supuestos!$B$39+Supuestos!$B$40)/12</f>
        <v/>
      </c>
      <c r="N16" s="51">
        <f>SUM(B16:M16)</f>
        <v/>
      </c>
    </row>
    <row r="17" ht="15" customHeight="1" s="40">
      <c r="A17" s="39" t="inlineStr">
        <is>
          <t xml:space="preserve">  Costo Craft Lab</t>
        </is>
      </c>
      <c r="B17" s="50">
        <f>Supuestos!$B$49*Supuestos!$B$13*8/12</f>
        <v/>
      </c>
      <c r="C17" s="50">
        <f>Supuestos!$B$49*Supuestos!$B$13*8/12</f>
        <v/>
      </c>
      <c r="D17" s="50">
        <f>Supuestos!$B$49*Supuestos!$B$13*8/12</f>
        <v/>
      </c>
      <c r="E17" s="50">
        <f>Supuestos!$B$49*Supuestos!$B$13*8/12</f>
        <v/>
      </c>
      <c r="F17" s="50">
        <f>Supuestos!$B$49*Supuestos!$B$13*8/12</f>
        <v/>
      </c>
      <c r="G17" s="50">
        <f>Supuestos!$B$49*Supuestos!$B$13*8/12</f>
        <v/>
      </c>
      <c r="H17" s="50">
        <f>Supuestos!$B$49*Supuestos!$B$13*8/12</f>
        <v/>
      </c>
      <c r="I17" s="50">
        <f>Supuestos!$B$49*Supuestos!$B$13*8/12</f>
        <v/>
      </c>
      <c r="J17" s="50">
        <f>Supuestos!$B$49*Supuestos!$B$13*8/12</f>
        <v/>
      </c>
      <c r="K17" s="50">
        <f>Supuestos!$B$49*Supuestos!$B$13*8/12</f>
        <v/>
      </c>
      <c r="L17" s="50">
        <f>Supuestos!$B$49*Supuestos!$B$13*8/12</f>
        <v/>
      </c>
      <c r="M17" s="50">
        <f>Supuestos!$B$49*Supuestos!$B$13*8/12</f>
        <v/>
      </c>
      <c r="N17" s="51">
        <f>SUM(B17:M17)</f>
        <v/>
      </c>
    </row>
    <row r="18" ht="15" customHeight="1" s="40">
      <c r="A18" s="55" t="inlineStr">
        <is>
          <t>TOTAL COSTOS DIRECTOS</t>
        </is>
      </c>
      <c r="B18" s="56">
        <f>SUM(B13:B17)</f>
        <v/>
      </c>
      <c r="C18" s="56">
        <f>SUM(C13:C17)</f>
        <v/>
      </c>
      <c r="D18" s="56">
        <f>SUM(D13:D17)</f>
        <v/>
      </c>
      <c r="E18" s="56">
        <f>SUM(E13:E17)</f>
        <v/>
      </c>
      <c r="F18" s="56">
        <f>SUM(F13:F17)</f>
        <v/>
      </c>
      <c r="G18" s="56">
        <f>SUM(G13:G17)</f>
        <v/>
      </c>
      <c r="H18" s="56">
        <f>SUM(H13:H17)</f>
        <v/>
      </c>
      <c r="I18" s="56">
        <f>SUM(I13:I17)</f>
        <v/>
      </c>
      <c r="J18" s="56">
        <f>SUM(J13:J17)</f>
        <v/>
      </c>
      <c r="K18" s="56">
        <f>SUM(K13:K17)</f>
        <v/>
      </c>
      <c r="L18" s="56">
        <f>SUM(L13:L17)</f>
        <v/>
      </c>
      <c r="M18" s="56">
        <f>SUM(M13:M17)</f>
        <v/>
      </c>
      <c r="N18" s="56">
        <f>SUM(N13:N17)</f>
        <v/>
      </c>
    </row>
    <row r="20" ht="15" customHeight="1" s="40">
      <c r="A20" s="52" t="inlineStr">
        <is>
          <t>UTILIDAD BRUTA</t>
        </is>
      </c>
      <c r="B20" s="53">
        <f>B10-B18</f>
        <v/>
      </c>
      <c r="C20" s="53">
        <f>C10-C18</f>
        <v/>
      </c>
      <c r="D20" s="53">
        <f>D10-D18</f>
        <v/>
      </c>
      <c r="E20" s="53">
        <f>E10-E18</f>
        <v/>
      </c>
      <c r="F20" s="53">
        <f>F10-F18</f>
        <v/>
      </c>
      <c r="G20" s="53">
        <f>G10-G18</f>
        <v/>
      </c>
      <c r="H20" s="53">
        <f>H10-H18</f>
        <v/>
      </c>
      <c r="I20" s="53">
        <f>I10-I18</f>
        <v/>
      </c>
      <c r="J20" s="53">
        <f>J10-J18</f>
        <v/>
      </c>
      <c r="K20" s="53">
        <f>K10-K18</f>
        <v/>
      </c>
      <c r="L20" s="53">
        <f>L10-L18</f>
        <v/>
      </c>
      <c r="M20" s="53">
        <f>M10-M18</f>
        <v/>
      </c>
      <c r="N20" s="53">
        <f>N10-N18</f>
        <v/>
      </c>
    </row>
    <row r="21" ht="15" customHeight="1" s="40">
      <c r="A21" s="39" t="inlineStr">
        <is>
          <t xml:space="preserve">  Margen Bruto %</t>
        </is>
      </c>
      <c r="B21" s="57">
        <f>IF(B10=0,0,B20/B10)</f>
        <v/>
      </c>
      <c r="C21" s="57">
        <f>IF(C10=0,0,C20/C10)</f>
        <v/>
      </c>
      <c r="D21" s="57">
        <f>IF(D10=0,0,D20/D10)</f>
        <v/>
      </c>
      <c r="E21" s="57">
        <f>IF(E10=0,0,E20/E10)</f>
        <v/>
      </c>
      <c r="F21" s="57">
        <f>IF(F10=0,0,F20/F10)</f>
        <v/>
      </c>
      <c r="G21" s="57">
        <f>IF(G10=0,0,G20/G10)</f>
        <v/>
      </c>
      <c r="H21" s="57">
        <f>IF(H10=0,0,H20/H10)</f>
        <v/>
      </c>
      <c r="I21" s="57">
        <f>IF(I10=0,0,I20/I10)</f>
        <v/>
      </c>
      <c r="J21" s="57">
        <f>IF(J10=0,0,J20/J10)</f>
        <v/>
      </c>
      <c r="K21" s="57">
        <f>IF(K10=0,0,K20/K10)</f>
        <v/>
      </c>
      <c r="L21" s="57">
        <f>IF(L10=0,0,L20/L10)</f>
        <v/>
      </c>
      <c r="M21" s="57">
        <f>IF(M10=0,0,M20/M10)</f>
        <v/>
      </c>
      <c r="N21" s="57">
        <f>IF(N10=0,0,N20/N10)</f>
        <v/>
      </c>
    </row>
    <row r="23" ht="15" customHeight="1" s="40">
      <c r="A23" s="54" t="inlineStr">
        <is>
          <t>GASTOS OPERATIVOS</t>
        </is>
      </c>
    </row>
    <row r="24" ht="15" customHeight="1" s="40">
      <c r="A24" s="39" t="inlineStr">
        <is>
          <t xml:space="preserve">  Gastos Admin Café Verde</t>
        </is>
      </c>
      <c r="B24" s="50">
        <f>(Supuestos!$B$17+Supuestos!$B$26)/12</f>
        <v/>
      </c>
      <c r="C24" s="50">
        <f>(Supuestos!$B$17+Supuestos!$B$26)/12</f>
        <v/>
      </c>
      <c r="D24" s="50">
        <f>(Supuestos!$B$17+Supuestos!$B$26)/12</f>
        <v/>
      </c>
      <c r="E24" s="50">
        <f>(Supuestos!$B$17+Supuestos!$B$26)/12</f>
        <v/>
      </c>
      <c r="F24" s="50">
        <f>(Supuestos!$B$17+Supuestos!$B$26)/12</f>
        <v/>
      </c>
      <c r="G24" s="50">
        <f>(Supuestos!$B$17+Supuestos!$B$26)/12</f>
        <v/>
      </c>
      <c r="H24" s="50">
        <f>(Supuestos!$B$17+Supuestos!$B$26)/12</f>
        <v/>
      </c>
      <c r="I24" s="50">
        <f>(Supuestos!$B$17+Supuestos!$B$26)/12</f>
        <v/>
      </c>
      <c r="J24" s="50">
        <f>(Supuestos!$B$17+Supuestos!$B$26)/12</f>
        <v/>
      </c>
      <c r="K24" s="50">
        <f>(Supuestos!$B$17+Supuestos!$B$26)/12</f>
        <v/>
      </c>
      <c r="L24" s="50">
        <f>(Supuestos!$B$17+Supuestos!$B$26)/12</f>
        <v/>
      </c>
      <c r="M24" s="50">
        <f>(Supuestos!$B$17+Supuestos!$B$26)/12</f>
        <v/>
      </c>
      <c r="N24" s="51">
        <f>SUM(B24:M24)</f>
        <v/>
      </c>
    </row>
    <row r="25" ht="15" customHeight="1" s="40">
      <c r="A25" s="39" t="inlineStr">
        <is>
          <t xml:space="preserve">  Contraprestación BloomsPal</t>
        </is>
      </c>
      <c r="B25" s="50">
        <f>Supuestos!$B$54*(1+Supuestos!$B$55)/Supuestos!$B$6</f>
        <v/>
      </c>
      <c r="C25" s="50">
        <f>Supuestos!$B$54*(1+Supuestos!$B$55)/Supuestos!$B$6</f>
        <v/>
      </c>
      <c r="D25" s="50">
        <f>Supuestos!$B$54*(1+Supuestos!$B$55)/Supuestos!$B$6</f>
        <v/>
      </c>
      <c r="E25" s="50">
        <f>Supuestos!$B$54*(1+Supuestos!$B$55)/Supuestos!$B$6</f>
        <v/>
      </c>
      <c r="F25" s="50">
        <f>Supuestos!$B$54*(1+Supuestos!$B$55)/Supuestos!$B$6</f>
        <v/>
      </c>
      <c r="G25" s="50">
        <f>Supuestos!$B$54*(1+Supuestos!$B$55)/Supuestos!$B$6</f>
        <v/>
      </c>
      <c r="H25" s="50">
        <f>Supuestos!$B$54*(1+Supuestos!$B$55)/Supuestos!$B$6</f>
        <v/>
      </c>
      <c r="I25" s="50">
        <f>Supuestos!$B$54*(1+Supuestos!$B$55)/Supuestos!$B$6</f>
        <v/>
      </c>
      <c r="J25" s="50">
        <f>Supuestos!$B$54*(1+Supuestos!$B$55)/Supuestos!$B$6</f>
        <v/>
      </c>
      <c r="K25" s="50">
        <f>Supuestos!$B$54*(1+Supuestos!$B$55)/Supuestos!$B$6</f>
        <v/>
      </c>
      <c r="L25" s="50">
        <f>Supuestos!$B$54*(1+Supuestos!$B$55)/Supuestos!$B$6</f>
        <v/>
      </c>
      <c r="M25" s="50">
        <f>Supuestos!$B$54*(1+Supuestos!$B$55)/Supuestos!$B$6</f>
        <v/>
      </c>
      <c r="N25" s="51">
        <f>SUM(B25:M25)</f>
        <v/>
      </c>
    </row>
    <row r="26" ht="15" customHeight="1" s="40">
      <c r="A26" s="39" t="inlineStr">
        <is>
          <t xml:space="preserve">  Nómina Administrativa</t>
        </is>
      </c>
      <c r="B26" s="50">
        <f>Supuestos!$B$56</f>
        <v/>
      </c>
      <c r="C26" s="50">
        <f>Supuestos!$B$56</f>
        <v/>
      </c>
      <c r="D26" s="50">
        <f>Supuestos!$B$56</f>
        <v/>
      </c>
      <c r="E26" s="50">
        <f>Supuestos!$B$56</f>
        <v/>
      </c>
      <c r="F26" s="50">
        <f>Supuestos!$B$56</f>
        <v/>
      </c>
      <c r="G26" s="50">
        <f>Supuestos!$B$56</f>
        <v/>
      </c>
      <c r="H26" s="50">
        <f>Supuestos!$B$56</f>
        <v/>
      </c>
      <c r="I26" s="50">
        <f>Supuestos!$B$56</f>
        <v/>
      </c>
      <c r="J26" s="50">
        <f>Supuestos!$B$56</f>
        <v/>
      </c>
      <c r="K26" s="50">
        <f>Supuestos!$B$56</f>
        <v/>
      </c>
      <c r="L26" s="50">
        <f>Supuestos!$B$56</f>
        <v/>
      </c>
      <c r="M26" s="50">
        <f>Supuestos!$B$56</f>
        <v/>
      </c>
      <c r="N26" s="51">
        <f>SUM(B26:M26)</f>
        <v/>
      </c>
    </row>
    <row r="27" ht="15" customHeight="1" s="40">
      <c r="A27" s="39" t="inlineStr">
        <is>
          <t xml:space="preserve">  Servicios y Operación</t>
        </is>
      </c>
      <c r="B27" s="50">
        <f>Supuestos!$B$57</f>
        <v/>
      </c>
      <c r="C27" s="50">
        <f>Supuestos!$B$57</f>
        <v/>
      </c>
      <c r="D27" s="50">
        <f>Supuestos!$B$57</f>
        <v/>
      </c>
      <c r="E27" s="50">
        <f>Supuestos!$B$57</f>
        <v/>
      </c>
      <c r="F27" s="50">
        <f>Supuestos!$B$57</f>
        <v/>
      </c>
      <c r="G27" s="50">
        <f>Supuestos!$B$57</f>
        <v/>
      </c>
      <c r="H27" s="50">
        <f>Supuestos!$B$57</f>
        <v/>
      </c>
      <c r="I27" s="50">
        <f>Supuestos!$B$57</f>
        <v/>
      </c>
      <c r="J27" s="50">
        <f>Supuestos!$B$57</f>
        <v/>
      </c>
      <c r="K27" s="50">
        <f>Supuestos!$B$57</f>
        <v/>
      </c>
      <c r="L27" s="50">
        <f>Supuestos!$B$57</f>
        <v/>
      </c>
      <c r="M27" s="50">
        <f>Supuestos!$B$57</f>
        <v/>
      </c>
      <c r="N27" s="51">
        <f>SUM(B27:M27)</f>
        <v/>
      </c>
    </row>
    <row r="28" ht="15" customHeight="1" s="40">
      <c r="A28" s="39" t="inlineStr">
        <is>
          <t xml:space="preserve">  Marketing y Ventas</t>
        </is>
      </c>
      <c r="B28" s="50">
        <f>Supuestos!$B$58</f>
        <v/>
      </c>
      <c r="C28" s="50">
        <f>Supuestos!$B$58</f>
        <v/>
      </c>
      <c r="D28" s="50">
        <f>Supuestos!$B$58</f>
        <v/>
      </c>
      <c r="E28" s="50">
        <f>Supuestos!$B$58</f>
        <v/>
      </c>
      <c r="F28" s="50">
        <f>Supuestos!$B$58</f>
        <v/>
      </c>
      <c r="G28" s="50">
        <f>Supuestos!$B$58</f>
        <v/>
      </c>
      <c r="H28" s="50">
        <f>Supuestos!$B$58</f>
        <v/>
      </c>
      <c r="I28" s="50">
        <f>Supuestos!$B$58</f>
        <v/>
      </c>
      <c r="J28" s="50">
        <f>Supuestos!$B$58</f>
        <v/>
      </c>
      <c r="K28" s="50">
        <f>Supuestos!$B$58</f>
        <v/>
      </c>
      <c r="L28" s="50">
        <f>Supuestos!$B$58</f>
        <v/>
      </c>
      <c r="M28" s="50">
        <f>Supuestos!$B$58</f>
        <v/>
      </c>
      <c r="N28" s="51">
        <f>SUM(B28:M28)</f>
        <v/>
      </c>
    </row>
    <row r="29" ht="15" customHeight="1" s="40">
      <c r="A29" s="39" t="inlineStr">
        <is>
          <t xml:space="preserve">  Comisiones Variables (5% B2B)</t>
        </is>
      </c>
      <c r="B29" s="50">
        <f>B8*Supuestos!$B$59</f>
        <v/>
      </c>
      <c r="C29" s="50">
        <f>C8*Supuestos!$B$59</f>
        <v/>
      </c>
      <c r="D29" s="50">
        <f>D8*Supuestos!$B$59</f>
        <v/>
      </c>
      <c r="E29" s="50">
        <f>E8*Supuestos!$B$59</f>
        <v/>
      </c>
      <c r="F29" s="50">
        <f>F8*Supuestos!$B$59</f>
        <v/>
      </c>
      <c r="G29" s="50">
        <f>G8*Supuestos!$B$59</f>
        <v/>
      </c>
      <c r="H29" s="50">
        <f>H8*Supuestos!$B$59</f>
        <v/>
      </c>
      <c r="I29" s="50">
        <f>I8*Supuestos!$B$59</f>
        <v/>
      </c>
      <c r="J29" s="50">
        <f>J8*Supuestos!$B$59</f>
        <v/>
      </c>
      <c r="K29" s="50">
        <f>K8*Supuestos!$B$59</f>
        <v/>
      </c>
      <c r="L29" s="50">
        <f>L8*Supuestos!$B$59</f>
        <v/>
      </c>
      <c r="M29" s="50">
        <f>M8*Supuestos!$B$59</f>
        <v/>
      </c>
      <c r="N29" s="51">
        <f>SUM(B29:M29)</f>
        <v/>
      </c>
    </row>
    <row r="30" ht="15" customHeight="1" s="40">
      <c r="A30" s="55" t="inlineStr">
        <is>
          <t>TOTAL GASTOS OPERATIVOS</t>
        </is>
      </c>
      <c r="B30" s="56">
        <f>SUM(B24:B29)</f>
        <v/>
      </c>
      <c r="C30" s="56">
        <f>SUM(C24:C29)</f>
        <v/>
      </c>
      <c r="D30" s="56">
        <f>SUM(D24:D29)</f>
        <v/>
      </c>
      <c r="E30" s="56">
        <f>SUM(E24:E29)</f>
        <v/>
      </c>
      <c r="F30" s="56">
        <f>SUM(F24:F29)</f>
        <v/>
      </c>
      <c r="G30" s="56">
        <f>SUM(G24:G29)</f>
        <v/>
      </c>
      <c r="H30" s="56">
        <f>SUM(H24:H29)</f>
        <v/>
      </c>
      <c r="I30" s="56">
        <f>SUM(I24:I29)</f>
        <v/>
      </c>
      <c r="J30" s="56">
        <f>SUM(J24:J29)</f>
        <v/>
      </c>
      <c r="K30" s="56">
        <f>SUM(K24:K29)</f>
        <v/>
      </c>
      <c r="L30" s="56">
        <f>SUM(L24:L29)</f>
        <v/>
      </c>
      <c r="M30" s="56">
        <f>SUM(M24:M29)</f>
        <v/>
      </c>
      <c r="N30" s="56">
        <f>SUM(N24:N29)</f>
        <v/>
      </c>
    </row>
    <row r="32" ht="15" customHeight="1" s="40">
      <c r="A32" s="58" t="inlineStr">
        <is>
          <t>EBITDA</t>
        </is>
      </c>
      <c r="B32" s="53">
        <f>B20-B30</f>
        <v/>
      </c>
      <c r="C32" s="53">
        <f>C20-C30</f>
        <v/>
      </c>
      <c r="D32" s="53">
        <f>D20-D30</f>
        <v/>
      </c>
      <c r="E32" s="53">
        <f>E20-E30</f>
        <v/>
      </c>
      <c r="F32" s="53">
        <f>F20-F30</f>
        <v/>
      </c>
      <c r="G32" s="53">
        <f>G20-G30</f>
        <v/>
      </c>
      <c r="H32" s="53">
        <f>H20-H30</f>
        <v/>
      </c>
      <c r="I32" s="53">
        <f>I20-I30</f>
        <v/>
      </c>
      <c r="J32" s="53">
        <f>J20-J30</f>
        <v/>
      </c>
      <c r="K32" s="53">
        <f>K20-K30</f>
        <v/>
      </c>
      <c r="L32" s="53">
        <f>L20-L30</f>
        <v/>
      </c>
      <c r="M32" s="53">
        <f>M20-M30</f>
        <v/>
      </c>
      <c r="N32" s="53">
        <f>N20-N30</f>
        <v/>
      </c>
    </row>
    <row r="33" ht="15" customHeight="1" s="40">
      <c r="A33" s="39" t="inlineStr">
        <is>
          <t xml:space="preserve">  Margen EBITDA %</t>
        </is>
      </c>
      <c r="B33" s="57">
        <f>IF(B10=0,0,B32/B10)</f>
        <v/>
      </c>
      <c r="C33" s="57">
        <f>IF(C10=0,0,C32/C10)</f>
        <v/>
      </c>
      <c r="D33" s="57">
        <f>IF(D10=0,0,D32/D10)</f>
        <v/>
      </c>
      <c r="E33" s="57">
        <f>IF(E10=0,0,E32/E10)</f>
        <v/>
      </c>
      <c r="F33" s="57">
        <f>IF(F10=0,0,F32/F10)</f>
        <v/>
      </c>
      <c r="G33" s="57">
        <f>IF(G10=0,0,G32/G10)</f>
        <v/>
      </c>
      <c r="H33" s="57">
        <f>IF(H10=0,0,H32/H10)</f>
        <v/>
      </c>
      <c r="I33" s="57">
        <f>IF(I10=0,0,I32/I10)</f>
        <v/>
      </c>
      <c r="J33" s="57">
        <f>IF(J10=0,0,J32/J10)</f>
        <v/>
      </c>
      <c r="K33" s="57">
        <f>IF(K10=0,0,K32/K10)</f>
        <v/>
      </c>
      <c r="L33" s="57">
        <f>IF(L10=0,0,L32/L10)</f>
        <v/>
      </c>
      <c r="M33" s="57">
        <f>IF(M10=0,0,M32/M10)</f>
        <v/>
      </c>
      <c r="N33" s="57">
        <f>IF(N10=0,0,N32/N10)</f>
        <v/>
      </c>
    </row>
    <row r="35" ht="15" customHeight="1" s="40">
      <c r="A35" s="39" t="inlineStr">
        <is>
          <t xml:space="preserve">  Depreciación</t>
        </is>
      </c>
      <c r="B35" s="59" t="n">
        <v>500</v>
      </c>
      <c r="C35" s="59" t="n">
        <v>500</v>
      </c>
      <c r="D35" s="59" t="n">
        <v>500</v>
      </c>
      <c r="E35" s="59" t="n">
        <v>500</v>
      </c>
      <c r="F35" s="59" t="n">
        <v>500</v>
      </c>
      <c r="G35" s="59" t="n">
        <v>500</v>
      </c>
      <c r="H35" s="59" t="n">
        <v>500</v>
      </c>
      <c r="I35" s="59" t="n">
        <v>500</v>
      </c>
      <c r="J35" s="59" t="n">
        <v>500</v>
      </c>
      <c r="K35" s="59" t="n">
        <v>500</v>
      </c>
      <c r="L35" s="59" t="n">
        <v>500</v>
      </c>
      <c r="M35" s="59" t="n">
        <v>500</v>
      </c>
      <c r="N35" s="51">
        <f>SUM(B35:M35)</f>
        <v/>
      </c>
    </row>
    <row r="36" ht="15" customHeight="1" s="40">
      <c r="A36" s="58" t="inlineStr">
        <is>
          <t>UTILIDAD OPERATIVA (EBIT)</t>
        </is>
      </c>
      <c r="B36" s="53">
        <f>B32-B35</f>
        <v/>
      </c>
      <c r="C36" s="53">
        <f>C32-C35</f>
        <v/>
      </c>
      <c r="D36" s="53">
        <f>D32-D35</f>
        <v/>
      </c>
      <c r="E36" s="53">
        <f>E32-E35</f>
        <v/>
      </c>
      <c r="F36" s="53">
        <f>F32-F35</f>
        <v/>
      </c>
      <c r="G36" s="53">
        <f>G32-G35</f>
        <v/>
      </c>
      <c r="H36" s="53">
        <f>H32-H35</f>
        <v/>
      </c>
      <c r="I36" s="53">
        <f>I32-I35</f>
        <v/>
      </c>
      <c r="J36" s="53">
        <f>J32-J35</f>
        <v/>
      </c>
      <c r="K36" s="53">
        <f>K32-K35</f>
        <v/>
      </c>
      <c r="L36" s="53">
        <f>L32-L35</f>
        <v/>
      </c>
      <c r="M36" s="53">
        <f>M32-M35</f>
        <v/>
      </c>
      <c r="N36" s="53">
        <f>N32-N35</f>
        <v/>
      </c>
    </row>
  </sheetData>
  <mergeCells count="1"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9" min="1" max="1"/>
    <col width="12" customWidth="1" style="39" min="2" max="14"/>
  </cols>
  <sheetData>
    <row r="1" ht="17.35" customHeight="1" s="40">
      <c r="A1" s="41" t="inlineStr">
        <is>
          <t>FLUJO DE CAJA PROYECTADO 2026</t>
        </is>
      </c>
    </row>
    <row r="3" ht="15" customHeight="1" s="40">
      <c r="A3" s="47" t="inlineStr">
        <is>
          <t>Concepto</t>
        </is>
      </c>
      <c r="B3" s="48" t="inlineStr">
        <is>
          <t>Ene</t>
        </is>
      </c>
      <c r="C3" s="48" t="inlineStr">
        <is>
          <t>Feb</t>
        </is>
      </c>
      <c r="D3" s="48" t="inlineStr">
        <is>
          <t>Mar</t>
        </is>
      </c>
      <c r="E3" s="48" t="inlineStr">
        <is>
          <t>Abr</t>
        </is>
      </c>
      <c r="F3" s="48" t="inlineStr">
        <is>
          <t>May</t>
        </is>
      </c>
      <c r="G3" s="48" t="inlineStr">
        <is>
          <t>Jun</t>
        </is>
      </c>
      <c r="H3" s="48" t="inlineStr">
        <is>
          <t>Jul</t>
        </is>
      </c>
      <c r="I3" s="48" t="inlineStr">
        <is>
          <t>Ago</t>
        </is>
      </c>
      <c r="J3" s="48" t="inlineStr">
        <is>
          <t>Sep</t>
        </is>
      </c>
      <c r="K3" s="48" t="inlineStr">
        <is>
          <t>Oct</t>
        </is>
      </c>
      <c r="L3" s="48" t="inlineStr">
        <is>
          <t>Nov</t>
        </is>
      </c>
      <c r="M3" s="48" t="inlineStr">
        <is>
          <t>Dic</t>
        </is>
      </c>
      <c r="N3" s="48" t="inlineStr">
        <is>
          <t>TOTAL</t>
        </is>
      </c>
    </row>
    <row r="5" ht="15" customHeight="1" s="40">
      <c r="A5" s="60" t="inlineStr">
        <is>
          <t>Saldo Inicial</t>
        </is>
      </c>
      <c r="B5" s="61" t="n">
        <v>10000</v>
      </c>
      <c r="C5" s="51">
        <f>B18</f>
        <v/>
      </c>
      <c r="D5" s="51">
        <f>C18</f>
        <v/>
      </c>
      <c r="E5" s="51">
        <f>D18</f>
        <v/>
      </c>
      <c r="F5" s="51">
        <f>E18</f>
        <v/>
      </c>
      <c r="G5" s="51">
        <f>F18</f>
        <v/>
      </c>
      <c r="H5" s="51">
        <f>G18</f>
        <v/>
      </c>
      <c r="I5" s="51">
        <f>H18</f>
        <v/>
      </c>
      <c r="J5" s="51">
        <f>I18</f>
        <v/>
      </c>
      <c r="K5" s="51">
        <f>J18</f>
        <v/>
      </c>
      <c r="L5" s="51">
        <f>K18</f>
        <v/>
      </c>
      <c r="M5" s="51">
        <f>L18</f>
        <v/>
      </c>
      <c r="N5" s="62">
        <f>B5</f>
        <v/>
      </c>
    </row>
    <row r="7" ht="15" customHeight="1" s="40">
      <c r="A7" s="49" t="inlineStr">
        <is>
          <t>ENTRADAS DE EFECTIVO</t>
        </is>
      </c>
    </row>
    <row r="8" ht="15" customHeight="1" s="40">
      <c r="A8" s="39" t="inlineStr">
        <is>
          <t xml:space="preserve">  Cobros Ventas (90% contado)</t>
        </is>
      </c>
      <c r="B8" s="50">
        <f>'P&amp;G'!B10*0.9</f>
        <v/>
      </c>
      <c r="C8" s="50">
        <f>'P&amp;G'!C10*0.9</f>
        <v/>
      </c>
      <c r="D8" s="50">
        <f>'P&amp;G'!D10*0.9</f>
        <v/>
      </c>
      <c r="E8" s="50">
        <f>'P&amp;G'!E10*0.9</f>
        <v/>
      </c>
      <c r="F8" s="50">
        <f>'P&amp;G'!F10*0.9</f>
        <v/>
      </c>
      <c r="G8" s="50">
        <f>'P&amp;G'!G10*0.9</f>
        <v/>
      </c>
      <c r="H8" s="50">
        <f>'P&amp;G'!H10*0.9</f>
        <v/>
      </c>
      <c r="I8" s="50">
        <f>'P&amp;G'!I10*0.9</f>
        <v/>
      </c>
      <c r="J8" s="50">
        <f>'P&amp;G'!J10*0.9</f>
        <v/>
      </c>
      <c r="K8" s="50">
        <f>'P&amp;G'!K10*0.9</f>
        <v/>
      </c>
      <c r="L8" s="50">
        <f>'P&amp;G'!L10*0.9</f>
        <v/>
      </c>
      <c r="M8" s="50">
        <f>'P&amp;G'!M10*0.9</f>
        <v/>
      </c>
      <c r="N8" s="62">
        <f>SUM(B8:M8)</f>
        <v/>
      </c>
    </row>
    <row r="9" ht="15" customHeight="1" s="40">
      <c r="A9" s="39" t="inlineStr">
        <is>
          <t xml:space="preserve">  Cobros Ventas (10% mes ant.)</t>
        </is>
      </c>
      <c r="B9" s="45" t="n">
        <v>0</v>
      </c>
      <c r="C9" s="50">
        <f>'P&amp;G'!B10*0.1</f>
        <v/>
      </c>
      <c r="D9" s="50">
        <f>'P&amp;G'!C10*0.1</f>
        <v/>
      </c>
      <c r="E9" s="50">
        <f>'P&amp;G'!D10*0.1</f>
        <v/>
      </c>
      <c r="F9" s="50">
        <f>'P&amp;G'!E10*0.1</f>
        <v/>
      </c>
      <c r="G9" s="50">
        <f>'P&amp;G'!F10*0.1</f>
        <v/>
      </c>
      <c r="H9" s="50">
        <f>'P&amp;G'!G10*0.1</f>
        <v/>
      </c>
      <c r="I9" s="50">
        <f>'P&amp;G'!H10*0.1</f>
        <v/>
      </c>
      <c r="J9" s="50">
        <f>'P&amp;G'!I10*0.1</f>
        <v/>
      </c>
      <c r="K9" s="50">
        <f>'P&amp;G'!J10*0.1</f>
        <v/>
      </c>
      <c r="L9" s="50">
        <f>'P&amp;G'!K10*0.1</f>
        <v/>
      </c>
      <c r="M9" s="50">
        <f>'P&amp;G'!L10*0.1</f>
        <v/>
      </c>
      <c r="N9" s="62">
        <f>SUM(B9:M9)</f>
        <v/>
      </c>
    </row>
    <row r="10" ht="15" customHeight="1" s="40">
      <c r="A10" s="52" t="inlineStr">
        <is>
          <t>TOTAL ENTRADAS</t>
        </is>
      </c>
      <c r="B10" s="53">
        <f>SUM(B8:B9)</f>
        <v/>
      </c>
      <c r="C10" s="53">
        <f>SUM(C8:C9)</f>
        <v/>
      </c>
      <c r="D10" s="53">
        <f>SUM(D8:D9)</f>
        <v/>
      </c>
      <c r="E10" s="53">
        <f>SUM(E8:E9)</f>
        <v/>
      </c>
      <c r="F10" s="53">
        <f>SUM(F8:F9)</f>
        <v/>
      </c>
      <c r="G10" s="53">
        <f>SUM(G8:G9)</f>
        <v/>
      </c>
      <c r="H10" s="53">
        <f>SUM(H8:H9)</f>
        <v/>
      </c>
      <c r="I10" s="53">
        <f>SUM(I8:I9)</f>
        <v/>
      </c>
      <c r="J10" s="53">
        <f>SUM(J8:J9)</f>
        <v/>
      </c>
      <c r="K10" s="53">
        <f>SUM(K8:K9)</f>
        <v/>
      </c>
      <c r="L10" s="53">
        <f>SUM(L8:L9)</f>
        <v/>
      </c>
      <c r="M10" s="53">
        <f>SUM(M8:M9)</f>
        <v/>
      </c>
      <c r="N10" s="53">
        <f>SUM(N8:N9)</f>
        <v/>
      </c>
    </row>
    <row r="12" ht="15" customHeight="1" s="40">
      <c r="A12" s="54" t="inlineStr">
        <is>
          <t>SALIDAS DE EFECTIVO</t>
        </is>
      </c>
    </row>
    <row r="13" ht="15" customHeight="1" s="40">
      <c r="A13" s="39" t="inlineStr">
        <is>
          <t xml:space="preserve">  Pago Costos Directos</t>
        </is>
      </c>
      <c r="B13" s="50">
        <f>'P&amp;G'!B18</f>
        <v/>
      </c>
      <c r="C13" s="50">
        <f>'P&amp;G'!C18</f>
        <v/>
      </c>
      <c r="D13" s="50">
        <f>'P&amp;G'!D18</f>
        <v/>
      </c>
      <c r="E13" s="50">
        <f>'P&amp;G'!E18</f>
        <v/>
      </c>
      <c r="F13" s="50">
        <f>'P&amp;G'!F18</f>
        <v/>
      </c>
      <c r="G13" s="50">
        <f>'P&amp;G'!G18</f>
        <v/>
      </c>
      <c r="H13" s="50">
        <f>'P&amp;G'!H18</f>
        <v/>
      </c>
      <c r="I13" s="50">
        <f>'P&amp;G'!I18</f>
        <v/>
      </c>
      <c r="J13" s="50">
        <f>'P&amp;G'!J18</f>
        <v/>
      </c>
      <c r="K13" s="50">
        <f>'P&amp;G'!K18</f>
        <v/>
      </c>
      <c r="L13" s="50">
        <f>'P&amp;G'!L18</f>
        <v/>
      </c>
      <c r="M13" s="50">
        <f>'P&amp;G'!M18</f>
        <v/>
      </c>
      <c r="N13" s="62">
        <f>SUM(B13:M13)</f>
        <v/>
      </c>
    </row>
    <row r="14" ht="15" customHeight="1" s="40">
      <c r="A14" s="39" t="inlineStr">
        <is>
          <t xml:space="preserve">  Pago Gastos Operativos</t>
        </is>
      </c>
      <c r="B14" s="50">
        <f>'P&amp;G'!B30</f>
        <v/>
      </c>
      <c r="C14" s="50">
        <f>'P&amp;G'!C30</f>
        <v/>
      </c>
      <c r="D14" s="50">
        <f>'P&amp;G'!D30</f>
        <v/>
      </c>
      <c r="E14" s="50">
        <f>'P&amp;G'!E30</f>
        <v/>
      </c>
      <c r="F14" s="50">
        <f>'P&amp;G'!F30</f>
        <v/>
      </c>
      <c r="G14" s="50">
        <f>'P&amp;G'!G30</f>
        <v/>
      </c>
      <c r="H14" s="50">
        <f>'P&amp;G'!H30</f>
        <v/>
      </c>
      <c r="I14" s="50">
        <f>'P&amp;G'!I30</f>
        <v/>
      </c>
      <c r="J14" s="50">
        <f>'P&amp;G'!J30</f>
        <v/>
      </c>
      <c r="K14" s="50">
        <f>'P&amp;G'!K30</f>
        <v/>
      </c>
      <c r="L14" s="50">
        <f>'P&amp;G'!L30</f>
        <v/>
      </c>
      <c r="M14" s="50">
        <f>'P&amp;G'!M30</f>
        <v/>
      </c>
      <c r="N14" s="62">
        <f>SUM(B14:M14)</f>
        <v/>
      </c>
    </row>
    <row r="15" ht="15" customHeight="1" s="40">
      <c r="A15" s="39" t="inlineStr">
        <is>
          <t xml:space="preserve">  CAPEX / Inversiones</t>
        </is>
      </c>
      <c r="B15" s="59" t="n">
        <v>0</v>
      </c>
      <c r="C15" s="59" t="n">
        <v>0</v>
      </c>
      <c r="D15" s="59" t="n">
        <v>0</v>
      </c>
      <c r="E15" s="59" t="n">
        <v>0</v>
      </c>
      <c r="F15" s="59" t="n">
        <v>0</v>
      </c>
      <c r="G15" s="59" t="n">
        <v>0</v>
      </c>
      <c r="H15" s="59" t="n">
        <v>0</v>
      </c>
      <c r="I15" s="59" t="n">
        <v>0</v>
      </c>
      <c r="J15" s="59" t="n">
        <v>0</v>
      </c>
      <c r="K15" s="59" t="n">
        <v>0</v>
      </c>
      <c r="L15" s="59" t="n">
        <v>0</v>
      </c>
      <c r="M15" s="59" t="n">
        <v>0</v>
      </c>
      <c r="N15" s="62">
        <f>SUM(B15:M15)</f>
        <v/>
      </c>
    </row>
    <row r="16" ht="15" customHeight="1" s="40">
      <c r="A16" s="55" t="inlineStr">
        <is>
          <t>TOTAL SALIDAS</t>
        </is>
      </c>
      <c r="B16" s="56">
        <f>SUM(B13:B15)</f>
        <v/>
      </c>
      <c r="C16" s="56">
        <f>SUM(C13:C15)</f>
        <v/>
      </c>
      <c r="D16" s="56">
        <f>SUM(D13:D15)</f>
        <v/>
      </c>
      <c r="E16" s="56">
        <f>SUM(E13:E15)</f>
        <v/>
      </c>
      <c r="F16" s="56">
        <f>SUM(F13:F15)</f>
        <v/>
      </c>
      <c r="G16" s="56">
        <f>SUM(G13:G15)</f>
        <v/>
      </c>
      <c r="H16" s="56">
        <f>SUM(H13:H15)</f>
        <v/>
      </c>
      <c r="I16" s="56">
        <f>SUM(I13:I15)</f>
        <v/>
      </c>
      <c r="J16" s="56">
        <f>SUM(J13:J15)</f>
        <v/>
      </c>
      <c r="K16" s="56">
        <f>SUM(K13:K15)</f>
        <v/>
      </c>
      <c r="L16" s="56">
        <f>SUM(L13:L15)</f>
        <v/>
      </c>
      <c r="M16" s="56">
        <f>SUM(M13:M15)</f>
        <v/>
      </c>
      <c r="N16" s="56">
        <f>SUM(N13:N15)</f>
        <v/>
      </c>
    </row>
    <row r="18" ht="15" customHeight="1" s="40">
      <c r="A18" s="63" t="inlineStr">
        <is>
          <t>FLUJO NETO DEL PERÍODO</t>
        </is>
      </c>
      <c r="B18" s="64">
        <f>B5+B10-B16</f>
        <v/>
      </c>
      <c r="C18" s="64">
        <f>C5+C10-C16</f>
        <v/>
      </c>
      <c r="D18" s="64">
        <f>D5+D10-D16</f>
        <v/>
      </c>
      <c r="E18" s="64">
        <f>E5+E10-E16</f>
        <v/>
      </c>
      <c r="F18" s="64">
        <f>F5+F10-F16</f>
        <v/>
      </c>
      <c r="G18" s="64">
        <f>G5+G10-G16</f>
        <v/>
      </c>
      <c r="H18" s="64">
        <f>H5+H10-H16</f>
        <v/>
      </c>
      <c r="I18" s="64">
        <f>I5+I10-I16</f>
        <v/>
      </c>
      <c r="J18" s="64">
        <f>J5+J10-J16</f>
        <v/>
      </c>
      <c r="K18" s="64">
        <f>K5+K10-K16</f>
        <v/>
      </c>
      <c r="L18" s="64">
        <f>L5+L10-L16</f>
        <v/>
      </c>
      <c r="M18" s="64">
        <f>M5+M10-M16</f>
        <v/>
      </c>
      <c r="N18" s="64">
        <f>N5+N10-N16</f>
        <v/>
      </c>
    </row>
  </sheetData>
  <mergeCells count="1"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9" min="1" max="1"/>
    <col width="15" customWidth="1" style="39" min="2" max="4"/>
    <col width="12" customWidth="1" style="39" min="5" max="5"/>
    <col width="18" customWidth="1" style="39" min="6" max="6"/>
    <col width="15" customWidth="1" style="39" min="7" max="7"/>
  </cols>
  <sheetData>
    <row r="1" ht="17.35" customHeight="1" s="40">
      <c r="A1" s="41" t="inlineStr">
        <is>
          <t>ANÁLISIS DE RENTABILIDAD POR LÍNEA DE NEGOCIO</t>
        </is>
      </c>
    </row>
    <row r="3" ht="15" customHeight="1" s="40">
      <c r="A3" s="48" t="inlineStr">
        <is>
          <t>Línea de Negocio</t>
        </is>
      </c>
      <c r="B3" s="48" t="inlineStr">
        <is>
          <t>Ingresos USD</t>
        </is>
      </c>
      <c r="C3" s="48" t="inlineStr">
        <is>
          <t>Costos USD</t>
        </is>
      </c>
      <c r="D3" s="48" t="inlineStr">
        <is>
          <t>Utilidad Bruta</t>
        </is>
      </c>
      <c r="E3" s="48" t="inlineStr">
        <is>
          <t>Margen %</t>
        </is>
      </c>
      <c r="F3" s="48" t="inlineStr">
        <is>
          <t>Libras Vendidas</t>
        </is>
      </c>
      <c r="G3" s="48" t="inlineStr">
        <is>
          <t>Precio/Lb USD</t>
        </is>
      </c>
    </row>
    <row r="4" ht="15" customHeight="1" s="40">
      <c r="A4" s="45" t="inlineStr">
        <is>
          <t>Café Verde - Venta Directa</t>
        </is>
      </c>
      <c r="B4" s="50">
        <f>'P&amp;G'!N5</f>
        <v/>
      </c>
      <c r="C4" s="50">
        <f>'P&amp;G'!N13</f>
        <v/>
      </c>
      <c r="D4" s="62">
        <f>B4-C4</f>
        <v/>
      </c>
      <c r="E4" s="65">
        <f>IF(B4=0,0,D4/B4)</f>
        <v/>
      </c>
      <c r="F4" s="66">
        <f>Supuestos!B12*Supuestos!B13*Supuestos!B14</f>
        <v/>
      </c>
      <c r="G4" s="67">
        <f>IF(F4=0,0,B4/F4)</f>
        <v/>
      </c>
    </row>
    <row r="5" ht="15" customHeight="1" s="40">
      <c r="A5" s="45" t="inlineStr">
        <is>
          <t>Café Verde - Neighbors &amp; Crops</t>
        </is>
      </c>
      <c r="B5" s="50">
        <f>'P&amp;G'!N6</f>
        <v/>
      </c>
      <c r="C5" s="50">
        <f>'P&amp;G'!N14</f>
        <v/>
      </c>
      <c r="D5" s="62">
        <f>B5-C5</f>
        <v/>
      </c>
      <c r="E5" s="65">
        <f>IF(B5=0,0,D5/B5)</f>
        <v/>
      </c>
      <c r="F5" s="66">
        <f>Supuestos!B22*Supuestos!B23</f>
        <v/>
      </c>
      <c r="G5" s="67">
        <f>IF(F5=0,0,B5/F5)</f>
        <v/>
      </c>
    </row>
    <row r="6" ht="15" customHeight="1" s="40">
      <c r="A6" s="45" t="inlineStr">
        <is>
          <t>Café Tostado - Varietales</t>
        </is>
      </c>
      <c r="B6" s="50">
        <f>'P&amp;G'!N7</f>
        <v/>
      </c>
      <c r="C6" s="50">
        <f>'P&amp;G'!N15*0.3</f>
        <v/>
      </c>
      <c r="D6" s="62">
        <f>B6-C6</f>
        <v/>
      </c>
      <c r="E6" s="65">
        <f>IF(B6=0,0,D6/B6)</f>
        <v/>
      </c>
      <c r="F6" s="66">
        <f>Supuestos!B31*Supuestos!B13*(1-Supuestos!B32)*Supuestos!B14</f>
        <v/>
      </c>
      <c r="G6" s="67">
        <f>IF(F6=0,0,B6/F6)</f>
        <v/>
      </c>
    </row>
    <row r="7" ht="15" customHeight="1" s="40">
      <c r="A7" s="45" t="inlineStr">
        <is>
          <t>Café Tostado - Blends/B2B</t>
        </is>
      </c>
      <c r="B7" s="50">
        <f>'P&amp;G'!N8</f>
        <v/>
      </c>
      <c r="C7" s="50">
        <f>'P&amp;G'!N15*0.7</f>
        <v/>
      </c>
      <c r="D7" s="62">
        <f>B7-C7</f>
        <v/>
      </c>
      <c r="E7" s="65">
        <f>IF(B7=0,0,D7/B7)</f>
        <v/>
      </c>
      <c r="F7" s="62">
        <f>B7/55</f>
        <v/>
      </c>
      <c r="G7" s="67">
        <f>IF(F7=0,0,B7/F7)</f>
        <v/>
      </c>
    </row>
    <row r="8" ht="15" customHeight="1" s="40">
      <c r="A8" s="45" t="inlineStr">
        <is>
          <t>Craft Lab</t>
        </is>
      </c>
      <c r="B8" s="50">
        <f>'P&amp;G'!N9</f>
        <v/>
      </c>
      <c r="C8" s="50">
        <f>'P&amp;G'!N17</f>
        <v/>
      </c>
      <c r="D8" s="62">
        <f>B8-C8</f>
        <v/>
      </c>
      <c r="E8" s="65">
        <f>IF(B8=0,0,D8/B8)</f>
        <v/>
      </c>
      <c r="F8" s="66">
        <f>Supuestos!B45*Supuestos!B46*Supuestos!B13*Supuestos!B14</f>
        <v/>
      </c>
      <c r="G8" s="67">
        <f>IF(F8=0,0,B8/F8)</f>
        <v/>
      </c>
    </row>
    <row r="10" ht="15" customHeight="1" s="40">
      <c r="A10" s="68" t="inlineStr">
        <is>
          <t>TOTAL</t>
        </is>
      </c>
      <c r="B10" s="53">
        <f>SUM(B4:B8)</f>
        <v/>
      </c>
      <c r="C10" s="53">
        <f>SUM(C4:C8)</f>
        <v/>
      </c>
      <c r="D10" s="53">
        <f>SUM(D4:D8)</f>
        <v/>
      </c>
      <c r="E10" s="69">
        <f>IF(B10=0,0,D10/B10)</f>
        <v/>
      </c>
      <c r="F10" s="70">
        <f>SUM(F4:F8)</f>
        <v/>
      </c>
      <c r="G10" s="71">
        <f>IF(F10=0,0,B10/F10)</f>
        <v/>
      </c>
    </row>
    <row r="13" ht="15" customHeight="1" s="40">
      <c r="A13" s="43" t="inlineStr">
        <is>
          <t>KPIs CLAVE</t>
        </is>
      </c>
    </row>
    <row r="14" ht="17.35" customHeight="1" s="40">
      <c r="A14" s="45" t="inlineStr">
        <is>
          <t>Precio Promedio por Libra (Objetivo ≥$42)</t>
        </is>
      </c>
      <c r="B14" s="72">
        <f>G10</f>
        <v/>
      </c>
    </row>
    <row r="15" ht="17.35" customHeight="1" s="40">
      <c r="A15" s="45" t="inlineStr">
        <is>
          <t>EBITDA Anual (Objetivo ≥$100,000)</t>
        </is>
      </c>
      <c r="B15" s="73">
        <f>'P&amp;G'!N32</f>
        <v/>
      </c>
    </row>
    <row r="16" ht="17.35" customHeight="1" s="40">
      <c r="A16" s="45" t="inlineStr">
        <is>
          <t>Margen EBITDA %</t>
        </is>
      </c>
      <c r="B16" s="74">
        <f>'P&amp;G'!N33</f>
        <v/>
      </c>
    </row>
    <row r="17" ht="15" customHeight="1" s="40">
      <c r="A17" s="45" t="inlineStr">
        <is>
          <t>Total Libras Vendidas</t>
        </is>
      </c>
      <c r="B17" s="75">
        <f>F10</f>
        <v/>
      </c>
    </row>
  </sheetData>
  <mergeCells count="2">
    <mergeCell ref="A13:C1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9" min="1" max="1"/>
    <col width="15" customWidth="1" style="39" min="2" max="3"/>
    <col width="12" customWidth="1" style="39" min="4" max="4"/>
  </cols>
  <sheetData>
    <row r="1" ht="17.35" customHeight="1" s="40">
      <c r="A1" s="41" t="inlineStr">
        <is>
          <t>DASHBOARD EJECUTIVO - LA PALMA Y EL TUCÁN 2026</t>
        </is>
      </c>
    </row>
    <row r="3" ht="15" customHeight="1" s="40">
      <c r="A3" s="43" t="inlineStr">
        <is>
          <t>RESUMEN EJECUTIVO</t>
        </is>
      </c>
    </row>
    <row r="4" ht="15" customHeight="1" s="40">
      <c r="A4" s="45" t="inlineStr">
        <is>
          <t>Ingresos Totales 2026</t>
        </is>
      </c>
      <c r="B4" s="50">
        <f>'P&amp;G'!N10</f>
        <v/>
      </c>
    </row>
    <row r="5" ht="15" customHeight="1" s="40">
      <c r="A5" s="45" t="inlineStr">
        <is>
          <t>Costos Directos</t>
        </is>
      </c>
      <c r="B5" s="50">
        <f>'P&amp;G'!N18</f>
        <v/>
      </c>
    </row>
    <row r="6" ht="15" customHeight="1" s="40">
      <c r="A6" s="45" t="inlineStr">
        <is>
          <t>Utilidad Bruta</t>
        </is>
      </c>
      <c r="B6" s="50">
        <f>'P&amp;G'!N20</f>
        <v/>
      </c>
    </row>
    <row r="7" ht="15" customHeight="1" s="40">
      <c r="A7" s="45" t="inlineStr">
        <is>
          <t>Margen Bruto %</t>
        </is>
      </c>
      <c r="B7" s="76">
        <f>'P&amp;G'!N21</f>
        <v/>
      </c>
    </row>
    <row r="8" ht="15" customHeight="1" s="40">
      <c r="A8" s="45" t="inlineStr">
        <is>
          <t>Gastos Operativos</t>
        </is>
      </c>
      <c r="B8" s="50">
        <f>'P&amp;G'!N30</f>
        <v/>
      </c>
    </row>
    <row r="9" ht="15" customHeight="1" s="40">
      <c r="A9" s="45" t="inlineStr">
        <is>
          <t>EBITDA</t>
        </is>
      </c>
      <c r="B9" s="50">
        <f>'P&amp;G'!N32</f>
        <v/>
      </c>
    </row>
    <row r="10" ht="15" customHeight="1" s="40">
      <c r="A10" s="45" t="inlineStr">
        <is>
          <t>Margen EBITDA %</t>
        </is>
      </c>
      <c r="B10" s="76">
        <f>'P&amp;G'!N33</f>
        <v/>
      </c>
    </row>
    <row r="11" ht="15" customHeight="1" s="40">
      <c r="A11" s="45" t="inlineStr">
        <is>
          <t>Utilidad Operativa (EBIT)</t>
        </is>
      </c>
      <c r="B11" s="50">
        <f>'P&amp;G'!N36</f>
        <v/>
      </c>
    </row>
    <row r="14" ht="15" customHeight="1" s="40">
      <c r="A14" s="43" t="inlineStr">
        <is>
          <t>DESGLOSE POR LÍNEA DE NEGOCIO</t>
        </is>
      </c>
    </row>
    <row r="15" ht="15" customHeight="1" s="40">
      <c r="A15" s="44" t="inlineStr">
        <is>
          <t>Línea</t>
        </is>
      </c>
      <c r="B15" s="44" t="inlineStr">
        <is>
          <t>Ingresos</t>
        </is>
      </c>
      <c r="C15" s="44" t="inlineStr">
        <is>
          <t>% del Total</t>
        </is>
      </c>
      <c r="D15" s="44" t="inlineStr">
        <is>
          <t>Margen</t>
        </is>
      </c>
    </row>
    <row r="16" ht="15" customHeight="1" s="40">
      <c r="A16" s="45" t="inlineStr">
        <is>
          <t>Café Verde - Venta Directa</t>
        </is>
      </c>
      <c r="B16" s="50">
        <f>'P&amp;G'!N5</f>
        <v/>
      </c>
      <c r="C16" s="65">
        <f>B16/'P&amp;G'!N10</f>
        <v/>
      </c>
      <c r="D16" s="76">
        <f>('P&amp;G'!N5-'P&amp;G'!N13)/'P&amp;G'!N5</f>
        <v/>
      </c>
    </row>
    <row r="17" ht="15" customHeight="1" s="40">
      <c r="A17" s="45" t="inlineStr">
        <is>
          <t>Café Verde - Neighbors</t>
        </is>
      </c>
      <c r="B17" s="50">
        <f>'P&amp;G'!N6</f>
        <v/>
      </c>
      <c r="C17" s="65">
        <f>B17/'P&amp;G'!N10</f>
        <v/>
      </c>
      <c r="D17" s="76">
        <f>('P&amp;G'!N6-'P&amp;G'!N14)/'P&amp;G'!N6</f>
        <v/>
      </c>
    </row>
    <row r="18" ht="15" customHeight="1" s="40">
      <c r="A18" s="45" t="inlineStr">
        <is>
          <t>Café Tostado - Varietales</t>
        </is>
      </c>
      <c r="B18" s="50">
        <f>'P&amp;G'!N7</f>
        <v/>
      </c>
      <c r="C18" s="65">
        <f>B18/'P&amp;G'!N10</f>
        <v/>
      </c>
      <c r="D18" s="76">
        <f>Rentabilidad!E6</f>
        <v/>
      </c>
    </row>
    <row r="19" ht="15" customHeight="1" s="40">
      <c r="A19" s="45" t="inlineStr">
        <is>
          <t>Café Tostado - Blends</t>
        </is>
      </c>
      <c r="B19" s="50">
        <f>'P&amp;G'!N8</f>
        <v/>
      </c>
      <c r="C19" s="65">
        <f>B19/'P&amp;G'!N10</f>
        <v/>
      </c>
      <c r="D19" s="76">
        <f>Rentabilidad!E7</f>
        <v/>
      </c>
    </row>
    <row r="20" ht="15" customHeight="1" s="40">
      <c r="A20" s="45" t="inlineStr">
        <is>
          <t>Craft Lab</t>
        </is>
      </c>
      <c r="B20" s="50">
        <f>'P&amp;G'!N9</f>
        <v/>
      </c>
      <c r="C20" s="65">
        <f>B20/'P&amp;G'!N10</f>
        <v/>
      </c>
      <c r="D20" s="76">
        <f>Rentabilidad!E8</f>
        <v/>
      </c>
    </row>
    <row r="23" ht="15" customHeight="1" s="40">
      <c r="A23" s="43" t="inlineStr">
        <is>
          <t>VALIDACIÓN DE OBJETIVOS</t>
        </is>
      </c>
    </row>
    <row r="24" ht="15" customHeight="1" s="40">
      <c r="A24" s="44" t="inlineStr">
        <is>
          <t>Objetivo</t>
        </is>
      </c>
      <c r="B24" s="44" t="inlineStr">
        <is>
          <t>Meta</t>
        </is>
      </c>
      <c r="C24" s="44" t="inlineStr">
        <is>
          <t>Resultado</t>
        </is>
      </c>
      <c r="D24" s="44" t="inlineStr">
        <is>
          <t>Cumple</t>
        </is>
      </c>
    </row>
    <row r="25" ht="15" customHeight="1" s="40">
      <c r="A25" s="45" t="inlineStr">
        <is>
          <t>Precio Promedio ≥ $42/lb</t>
        </is>
      </c>
      <c r="B25" s="62" t="n">
        <v>42</v>
      </c>
      <c r="C25" s="77">
        <f>Rentabilidad!G10</f>
        <v/>
      </c>
      <c r="D25" s="45">
        <f>IF(C25&gt;=B25,"✓ SÍ","✗ NO")</f>
        <v/>
      </c>
    </row>
    <row r="26" ht="15" customHeight="1" s="40">
      <c r="A26" s="45" t="inlineStr">
        <is>
          <t>EBITDA ≥ $100,000</t>
        </is>
      </c>
      <c r="B26" s="62" t="n">
        <v>100000</v>
      </c>
      <c r="C26" s="50">
        <f>'P&amp;G'!N32</f>
        <v/>
      </c>
      <c r="D26" s="45">
        <f>IF(C26&gt;=B26,"✓ SÍ","✗ NO")</f>
        <v/>
      </c>
    </row>
    <row r="27" ht="15" customHeight="1" s="40">
      <c r="A27" s="45" t="inlineStr">
        <is>
          <t>Margen Bruto ≥ 60%</t>
        </is>
      </c>
      <c r="B27" s="78" t="n">
        <v>0.6</v>
      </c>
      <c r="C27" s="76">
        <f>'P&amp;G'!N21</f>
        <v/>
      </c>
      <c r="D27" s="45">
        <f>IF(C27&gt;=B27,"✓ SÍ","✗ NO")</f>
        <v/>
      </c>
    </row>
    <row r="29">
      <c r="A29" s="79" t="inlineStr">
        <is>
          <t>PROGRAMA BEAT SERIES - RESUMEN</t>
        </is>
      </c>
    </row>
    <row r="31">
      <c r="A31" s="39" t="inlineStr">
        <is>
          <t>Inversión Total Año 1</t>
        </is>
      </c>
      <c r="B31" s="39" t="n">
        <v>18426</v>
      </c>
      <c r="C31" s="39" t="inlineStr">
        <is>
          <t>USD</t>
        </is>
      </c>
      <c r="D31" s="39" t="inlineStr"/>
    </row>
    <row r="32">
      <c r="A32" s="39" t="inlineStr">
        <is>
          <t>Volumen Subsidiado</t>
        </is>
      </c>
      <c r="B32" s="39" t="inlineStr">
        <is>
          <t>20%</t>
        </is>
      </c>
      <c r="C32" s="39" t="inlineStr">
        <is>
          <t>del total</t>
        </is>
      </c>
      <c r="D32" s="39" t="inlineStr"/>
    </row>
    <row r="33">
      <c r="A33" s="39" t="inlineStr">
        <is>
          <t>Precio Prom. Ponderado</t>
        </is>
      </c>
      <c r="B33" s="39" t="n">
        <v>44.24</v>
      </c>
      <c r="C33" s="39" t="inlineStr">
        <is>
          <t>USD/lb</t>
        </is>
      </c>
      <c r="D33" s="39" t="inlineStr">
        <is>
          <t>≥$42 ✓</t>
        </is>
      </c>
    </row>
    <row r="34">
      <c r="A34" s="39" t="inlineStr">
        <is>
          <t>Competidores Patrocinados</t>
        </is>
      </c>
      <c r="B34" s="39" t="n">
        <v>7</v>
      </c>
      <c r="C34" s="39" t="inlineStr">
        <is>
          <t>personas</t>
        </is>
      </c>
      <c r="D34" s="39" t="inlineStr">
        <is>
          <t>N1:5, N2:2</t>
        </is>
      </c>
    </row>
    <row r="35">
      <c r="A35" s="39" t="inlineStr">
        <is>
          <t>ROI Estimado</t>
        </is>
      </c>
      <c r="B35" s="39" t="n">
        <v>1.08</v>
      </c>
      <c r="C35" s="39" t="inlineStr">
        <is>
          <t>x</t>
        </is>
      </c>
      <c r="D35" s="39" t="inlineStr">
        <is>
          <t>Año 1</t>
        </is>
      </c>
    </row>
  </sheetData>
  <mergeCells count="5">
    <mergeCell ref="A23:D23"/>
    <mergeCell ref="A1:F1"/>
    <mergeCell ref="A29:D29"/>
    <mergeCell ref="A3:C3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5" customWidth="1" style="40" min="1" max="1"/>
    <col width="15" customWidth="1" style="40" min="2" max="2"/>
    <col width="15" customWidth="1" style="40" min="3" max="3"/>
    <col width="45" customWidth="1" style="40" min="4" max="4"/>
  </cols>
  <sheetData>
    <row r="1">
      <c r="A1" s="80" t="inlineStr">
        <is>
          <t>PROGRAMA BEAT SERIES - PARÁMETROS Y SUPUESTOS</t>
        </is>
      </c>
    </row>
    <row r="3">
      <c r="A3" s="81" t="inlineStr">
        <is>
          <t>I. VARIABLES BASE Y PARÁMETROS</t>
        </is>
      </c>
    </row>
    <row r="4">
      <c r="A4" s="82" t="inlineStr">
        <is>
          <t>Variable</t>
        </is>
      </c>
      <c r="B4" s="82" t="inlineStr">
        <is>
          <t>Valor</t>
        </is>
      </c>
      <c r="C4" s="82" t="inlineStr">
        <is>
          <t>Unidad</t>
        </is>
      </c>
      <c r="D4" s="82" t="inlineStr">
        <is>
          <t>Notas</t>
        </is>
      </c>
    </row>
    <row r="5">
      <c r="A5" s="83" t="inlineStr">
        <is>
          <t>PVP Base Microlotes</t>
        </is>
      </c>
      <c r="B5" s="84" t="n">
        <v>50</v>
      </c>
      <c r="C5" s="83" t="inlineStr">
        <is>
          <t>USD/lb</t>
        </is>
      </c>
      <c r="D5" s="83" t="inlineStr">
        <is>
          <t>Precio de venta de microlotes competencia</t>
        </is>
      </c>
    </row>
    <row r="6">
      <c r="A6" s="83" t="inlineStr">
        <is>
          <t>Costo Producción Microlotes</t>
        </is>
      </c>
      <c r="B6" s="84" t="n">
        <v>12</v>
      </c>
      <c r="C6" s="83" t="inlineStr">
        <is>
          <t>USD/lb</t>
        </is>
      </c>
      <c r="D6" s="83" t="inlineStr">
        <is>
          <t>Costo interno café verde microlotes</t>
        </is>
      </c>
    </row>
    <row r="7">
      <c r="A7" s="83" t="inlineStr">
        <is>
          <t>Volumen Total Anual (Año 1)</t>
        </is>
      </c>
      <c r="B7" s="84" t="n">
        <v>1000</v>
      </c>
      <c r="C7" s="83" t="inlineStr">
        <is>
          <t>kg</t>
        </is>
      </c>
      <c r="D7" s="83" t="inlineStr">
        <is>
          <t>Producción total alta calidad</t>
        </is>
      </c>
    </row>
    <row r="8">
      <c r="A8" s="83" t="inlineStr">
        <is>
          <t>Volumen Total Anual (Año 2)</t>
        </is>
      </c>
      <c r="B8" s="84" t="n">
        <v>1100</v>
      </c>
      <c r="C8" s="83" t="inlineStr">
        <is>
          <t>kg</t>
        </is>
      </c>
      <c r="D8" s="83" t="inlineStr">
        <is>
          <t>Crecimiento 10%</t>
        </is>
      </c>
    </row>
    <row r="9">
      <c r="A9" s="83" t="inlineStr">
        <is>
          <t>Volumen Total Anual (Año 3)</t>
        </is>
      </c>
      <c r="B9" s="84" t="n">
        <v>1210</v>
      </c>
      <c r="C9" s="83" t="inlineStr">
        <is>
          <t>kg</t>
        </is>
      </c>
      <c r="D9" s="83" t="inlineStr">
        <is>
          <t>Crecimiento 10%</t>
        </is>
      </c>
    </row>
    <row r="10">
      <c r="A10" s="83" t="inlineStr">
        <is>
          <t>Límite Máx. Subsidio</t>
        </is>
      </c>
      <c r="B10" s="84" t="n">
        <v>0.15</v>
      </c>
      <c r="C10" s="83" t="inlineStr">
        <is>
          <t>%</t>
        </is>
      </c>
      <c r="D10" s="83" t="inlineStr">
        <is>
          <t>Máximo 15% del volumen para patrocinio</t>
        </is>
      </c>
    </row>
    <row r="11">
      <c r="A11" s="83" t="inlineStr">
        <is>
          <t>Tasa Crecimiento Anual</t>
        </is>
      </c>
      <c r="B11" s="84" t="n">
        <v>0.1</v>
      </c>
      <c r="C11" s="83" t="inlineStr">
        <is>
          <t>%</t>
        </is>
      </c>
      <c r="D11" s="83" t="inlineStr">
        <is>
          <t>Crecimiento proyectado producción</t>
        </is>
      </c>
    </row>
    <row r="12">
      <c r="A12" s="83" t="inlineStr">
        <is>
          <t>Precio Promedio Mínimo</t>
        </is>
      </c>
      <c r="B12" s="84" t="n">
        <v>42</v>
      </c>
      <c r="C12" s="83" t="inlineStr">
        <is>
          <t>USD/lb</t>
        </is>
      </c>
      <c r="D12" s="83" t="inlineStr">
        <is>
          <t>Objetivo mínimo (nunca comprometer)</t>
        </is>
      </c>
    </row>
    <row r="13">
      <c r="A13" s="83" t="inlineStr">
        <is>
          <t>Precio Promedio Ideal</t>
        </is>
      </c>
      <c r="B13" s="84" t="n">
        <v>50</v>
      </c>
      <c r="C13" s="83" t="inlineStr">
        <is>
          <t>USD/lb</t>
        </is>
      </c>
      <c r="D13" s="83" t="inlineStr">
        <is>
          <t>Objetivo ideal</t>
        </is>
      </c>
    </row>
    <row r="14">
      <c r="A14" s="83" t="inlineStr">
        <is>
          <t>Conversión kg a lb</t>
        </is>
      </c>
      <c r="B14" s="84" t="n">
        <v>2.2046</v>
      </c>
      <c r="C14" s="83" t="inlineStr">
        <is>
          <t>lb/kg</t>
        </is>
      </c>
      <c r="D14" s="83" t="inlineStr">
        <is>
          <t>Factor de conversión fijo</t>
        </is>
      </c>
    </row>
    <row r="16">
      <c r="A16" s="81" t="inlineStr">
        <is>
          <t>II. ESTRUCTURA DE PATROCINIO - NIVELES</t>
        </is>
      </c>
    </row>
    <row r="17">
      <c r="A17" s="82" t="inlineStr">
        <is>
          <t>Variable</t>
        </is>
      </c>
      <c r="B17" s="82" t="inlineStr">
        <is>
          <t>Valor</t>
        </is>
      </c>
      <c r="C17" s="82" t="inlineStr">
        <is>
          <t>Unidad</t>
        </is>
      </c>
      <c r="D17" s="82" t="inlineStr">
        <is>
          <t>Notas</t>
        </is>
      </c>
    </row>
    <row r="18">
      <c r="A18" s="85" t="inlineStr">
        <is>
          <t>--- NIVEL 1: NACIONAL ---</t>
        </is>
      </c>
      <c r="B18" s="83" t="inlineStr"/>
      <c r="C18" s="83" t="inlineStr"/>
      <c r="D18" s="83" t="inlineStr"/>
    </row>
    <row r="19">
      <c r="A19" s="83" t="inlineStr">
        <is>
          <t>Cuota Anual Nivel 1</t>
        </is>
      </c>
      <c r="B19" s="84" t="n">
        <v>5</v>
      </c>
      <c r="C19" s="83" t="inlineStr">
        <is>
          <t>competidores</t>
        </is>
      </c>
      <c r="D19" s="83" t="inlineStr">
        <is>
          <t>Patrocinados nacionales por año</t>
        </is>
      </c>
    </row>
    <row r="20">
      <c r="A20" s="83" t="inlineStr">
        <is>
          <t>Volumen Máx. Nivel 1</t>
        </is>
      </c>
      <c r="B20" s="84" t="n">
        <v>20</v>
      </c>
      <c r="C20" s="83" t="inlineStr">
        <is>
          <t>kg</t>
        </is>
      </c>
      <c r="D20" s="83" t="inlineStr">
        <is>
          <t>Máximo café por competidor nacional</t>
        </is>
      </c>
    </row>
    <row r="21">
      <c r="A21" s="83" t="inlineStr">
        <is>
          <t>Descuento Nivel 1</t>
        </is>
      </c>
      <c r="B21" s="84" t="n">
        <v>0.3</v>
      </c>
      <c r="C21" s="83" t="inlineStr">
        <is>
          <t>%</t>
        </is>
      </c>
      <c r="D21" s="83" t="inlineStr">
        <is>
          <t>30% descuento (70% ingreso percibido)</t>
        </is>
      </c>
    </row>
    <row r="22">
      <c r="A22" s="83" t="inlineStr"/>
      <c r="B22" s="83" t="inlineStr"/>
      <c r="C22" s="83" t="inlineStr"/>
      <c r="D22" s="83" t="inlineStr"/>
    </row>
    <row r="23">
      <c r="A23" s="85" t="inlineStr">
        <is>
          <t>--- NIVEL 2A: MUNDIAL LEALTAD ---</t>
        </is>
      </c>
      <c r="B23" s="83" t="inlineStr"/>
      <c r="C23" s="83" t="inlineStr"/>
      <c r="D23" s="83" t="inlineStr"/>
    </row>
    <row r="24">
      <c r="A24" s="83" t="inlineStr">
        <is>
          <t>Tasa Conversión N1→N2A</t>
        </is>
      </c>
      <c r="B24" s="84" t="n">
        <v>0.2</v>
      </c>
      <c r="C24" s="83" t="inlineStr">
        <is>
          <t>%</t>
        </is>
      </c>
      <c r="D24" s="83" t="inlineStr">
        <is>
          <t>% que ganan nacional y suben</t>
        </is>
      </c>
    </row>
    <row r="25">
      <c r="A25" s="83" t="inlineStr">
        <is>
          <t>Volumen Máx. Nivel 2</t>
        </is>
      </c>
      <c r="B25" s="84" t="n">
        <v>50</v>
      </c>
      <c r="C25" s="83" t="inlineStr">
        <is>
          <t>kg</t>
        </is>
      </c>
      <c r="D25" s="83" t="inlineStr">
        <is>
          <t>Máximo café por competidor mundial</t>
        </is>
      </c>
    </row>
    <row r="26">
      <c r="A26" s="83" t="inlineStr">
        <is>
          <t>Descuento Nivel 2A</t>
        </is>
      </c>
      <c r="B26" s="84" t="n">
        <v>1</v>
      </c>
      <c r="C26" s="83" t="inlineStr">
        <is>
          <t>%</t>
        </is>
      </c>
      <c r="D26" s="83" t="inlineStr">
        <is>
          <t>100% GRATUITO (upgrade automático)</t>
        </is>
      </c>
    </row>
    <row r="27">
      <c r="A27" s="83" t="inlineStr"/>
      <c r="B27" s="83" t="inlineStr"/>
      <c r="C27" s="83" t="inlineStr"/>
      <c r="D27" s="83" t="inlineStr"/>
    </row>
    <row r="28">
      <c r="A28" s="85" t="inlineStr">
        <is>
          <t>--- NIVEL 2B: MUNDIAL NUEVO ---</t>
        </is>
      </c>
      <c r="B28" s="83" t="inlineStr"/>
      <c r="C28" s="83" t="inlineStr"/>
      <c r="D28" s="83" t="inlineStr"/>
    </row>
    <row r="29">
      <c r="A29" s="83" t="inlineStr">
        <is>
          <t>Cuota Anual Nivel 2B</t>
        </is>
      </c>
      <c r="B29" s="84" t="n">
        <v>1</v>
      </c>
      <c r="C29" s="83" t="inlineStr">
        <is>
          <t>competidores</t>
        </is>
      </c>
      <c r="D29" s="83" t="inlineStr">
        <is>
          <t>Campeones nuevos directos al mundial</t>
        </is>
      </c>
    </row>
    <row r="30">
      <c r="A30" s="83" t="inlineStr">
        <is>
          <t>Descuento Nivel 2B</t>
        </is>
      </c>
      <c r="B30" s="84" t="n">
        <v>0.7</v>
      </c>
      <c r="C30" s="83" t="inlineStr">
        <is>
          <t>%</t>
        </is>
      </c>
      <c r="D30" s="83" t="inlineStr">
        <is>
          <t>70% descuento (30% ingreso percibido)</t>
        </is>
      </c>
    </row>
    <row r="32">
      <c r="A32" s="81" t="inlineStr">
        <is>
          <t>III. COSTOS OPERACIONALES DEL PROGRAMA</t>
        </is>
      </c>
    </row>
    <row r="33">
      <c r="A33" s="82" t="inlineStr">
        <is>
          <t>Variable</t>
        </is>
      </c>
      <c r="B33" s="82" t="inlineStr">
        <is>
          <t>Valor</t>
        </is>
      </c>
      <c r="C33" s="82" t="inlineStr">
        <is>
          <t>Unidad</t>
        </is>
      </c>
      <c r="D33" s="82" t="inlineStr">
        <is>
          <t>Notas</t>
        </is>
      </c>
    </row>
    <row r="34">
      <c r="A34" s="83" t="inlineStr">
        <is>
          <t>Costo Envío Internacional (50kg)</t>
        </is>
      </c>
      <c r="B34" s="84" t="n">
        <v>350</v>
      </c>
      <c r="C34" s="83" t="inlineStr">
        <is>
          <t>USD</t>
        </is>
      </c>
      <c r="D34" s="83" t="inlineStr">
        <is>
          <t>Incluye seguro y trámites</t>
        </is>
      </c>
    </row>
    <row r="35">
      <c r="A35" s="83" t="inlineStr">
        <is>
          <t>Kit Bienvenida Nivel 1</t>
        </is>
      </c>
      <c r="B35" s="84" t="n">
        <v>50</v>
      </c>
      <c r="C35" s="83" t="inlineStr">
        <is>
          <t>USD</t>
        </is>
      </c>
      <c r="D35" s="83" t="inlineStr">
        <is>
          <t>Merchandising básico</t>
        </is>
      </c>
    </row>
    <row r="36">
      <c r="A36" s="83" t="inlineStr">
        <is>
          <t>Kit Premium Nivel 2</t>
        </is>
      </c>
      <c r="B36" s="84" t="n">
        <v>150</v>
      </c>
      <c r="C36" s="83" t="inlineStr">
        <is>
          <t>USD</t>
        </is>
      </c>
      <c r="D36" s="83" t="inlineStr">
        <is>
          <t>Merchandising premium</t>
        </is>
      </c>
    </row>
    <row r="37">
      <c r="A37" s="83" t="inlineStr">
        <is>
          <t>Soporte Técnico (horas/competidor)</t>
        </is>
      </c>
      <c r="B37" s="84" t="n">
        <v>20</v>
      </c>
      <c r="C37" s="83" t="inlineStr">
        <is>
          <t>horas</t>
        </is>
      </c>
      <c r="D37" s="83" t="inlineStr">
        <is>
          <t>Q-Grader + Tostador jefe</t>
        </is>
      </c>
    </row>
    <row r="38">
      <c r="A38" s="83" t="inlineStr">
        <is>
          <t>Costo Hora Soporte Técnico</t>
        </is>
      </c>
      <c r="B38" s="84" t="n">
        <v>25</v>
      </c>
      <c r="C38" s="83" t="inlineStr">
        <is>
          <t>USD/hora</t>
        </is>
      </c>
      <c r="D38" s="83" t="inlineStr">
        <is>
          <t>Costo interno valorado</t>
        </is>
      </c>
    </row>
    <row r="39">
      <c r="A39" s="83" t="inlineStr">
        <is>
          <t>Presupuesto Marketing Anual</t>
        </is>
      </c>
      <c r="B39" s="84" t="n">
        <v>2000</v>
      </c>
      <c r="C39" s="83" t="inlineStr">
        <is>
          <t>USD</t>
        </is>
      </c>
      <c r="D39" s="83" t="inlineStr">
        <is>
          <t>Videos, fotos, comunicados</t>
        </is>
      </c>
    </row>
    <row r="40">
      <c r="A40" s="83" t="inlineStr">
        <is>
          <t>Presupuesto Eventos Post-Comp</t>
        </is>
      </c>
      <c r="B40" s="84" t="n">
        <v>1500</v>
      </c>
      <c r="C40" s="83" t="inlineStr">
        <is>
          <t>USD</t>
        </is>
      </c>
      <c r="D40" s="83" t="inlineStr">
        <is>
          <t>Viáticos y muestras</t>
        </is>
      </c>
    </row>
  </sheetData>
  <mergeCells count="4">
    <mergeCell ref="A1:D1"/>
    <mergeCell ref="A32:D32"/>
    <mergeCell ref="A3:D3"/>
    <mergeCell ref="A16:D1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35" customWidth="1" style="40" min="1" max="1"/>
    <col width="12" customWidth="1" style="40" min="2" max="2"/>
    <col width="12" customWidth="1" style="40" min="3" max="3"/>
    <col width="12" customWidth="1" style="40" min="4" max="4"/>
    <col width="12" customWidth="1" style="40" min="5" max="5"/>
    <col width="10" customWidth="1" style="40" min="6" max="6"/>
    <col width="25" customWidth="1" style="40" min="7" max="7"/>
  </cols>
  <sheetData>
    <row r="1">
      <c r="A1" s="80" t="inlineStr">
        <is>
          <t>MODELO DE SUBSIDIOS E INGRESOS NO PERCIBIDOS - PROYECCIÓN 3 AÑOS</t>
        </is>
      </c>
    </row>
    <row r="3">
      <c r="A3" s="81" t="inlineStr">
        <is>
          <t>ESCENARIO CONSERVADOR (Recomendado)</t>
        </is>
      </c>
    </row>
    <row r="5">
      <c r="A5" s="82" t="inlineStr">
        <is>
          <t>Concepto</t>
        </is>
      </c>
      <c r="B5" s="82" t="inlineStr">
        <is>
          <t>Año 1</t>
        </is>
      </c>
      <c r="C5" s="82" t="inlineStr">
        <is>
          <t>Año 2</t>
        </is>
      </c>
      <c r="D5" s="82" t="inlineStr">
        <is>
          <t>Año 3</t>
        </is>
      </c>
      <c r="E5" s="82" t="inlineStr">
        <is>
          <t>Total 3 Años</t>
        </is>
      </c>
      <c r="F5" s="82" t="inlineStr">
        <is>
          <t>Unidad</t>
        </is>
      </c>
      <c r="G5" s="82" t="inlineStr">
        <is>
          <t>Fórmula/Notas</t>
        </is>
      </c>
    </row>
    <row r="6">
      <c r="A6" s="83" t="inlineStr"/>
      <c r="B6" s="83" t="inlineStr"/>
      <c r="C6" s="83" t="inlineStr"/>
      <c r="D6" s="83" t="inlineStr"/>
      <c r="E6" s="83" t="inlineStr"/>
      <c r="F6" s="83" t="inlineStr"/>
      <c r="G6" s="83" t="inlineStr"/>
    </row>
    <row r="7">
      <c r="A7" s="86" t="inlineStr">
        <is>
          <t>VOLÚMENES BASE</t>
        </is>
      </c>
      <c r="B7" s="86" t="inlineStr"/>
      <c r="C7" s="86" t="inlineStr"/>
      <c r="D7" s="86" t="inlineStr"/>
      <c r="E7" s="86" t="inlineStr"/>
      <c r="F7" s="86" t="inlineStr"/>
      <c r="G7" s="86" t="inlineStr"/>
    </row>
    <row r="8">
      <c r="A8" s="83" t="inlineStr">
        <is>
          <t>Volumen Total Anual</t>
        </is>
      </c>
      <c r="B8" s="83" t="n">
        <v>1000</v>
      </c>
      <c r="C8" s="83" t="n">
        <v>1100</v>
      </c>
      <c r="D8" s="83" t="n">
        <v>1210</v>
      </c>
      <c r="E8" s="83" t="n">
        <v>3310</v>
      </c>
      <c r="F8" s="83" t="inlineStr">
        <is>
          <t>kg</t>
        </is>
      </c>
      <c r="G8" s="83" t="inlineStr">
        <is>
          <t>Crecimiento 10% anual</t>
        </is>
      </c>
    </row>
    <row r="9">
      <c r="A9" s="83" t="inlineStr">
        <is>
          <t>Volumen Total (lbs)</t>
        </is>
      </c>
      <c r="B9" s="83" t="n">
        <v>2204.6</v>
      </c>
      <c r="C9" s="83" t="n">
        <v>2425.1</v>
      </c>
      <c r="D9" s="83" t="n">
        <v>2667.6</v>
      </c>
      <c r="E9" s="83" t="n">
        <v>7297.3</v>
      </c>
      <c r="F9" s="83" t="inlineStr">
        <is>
          <t>lbs</t>
        </is>
      </c>
      <c r="G9" s="83" t="inlineStr">
        <is>
          <t>kg × 2.2046</t>
        </is>
      </c>
    </row>
    <row r="10">
      <c r="A10" s="83" t="inlineStr">
        <is>
          <t>Límite Subsidio (15%)</t>
        </is>
      </c>
      <c r="B10" s="83" t="n">
        <v>150</v>
      </c>
      <c r="C10" s="83" t="n">
        <v>165</v>
      </c>
      <c r="D10" s="83" t="n">
        <v>181.5</v>
      </c>
      <c r="E10" s="83" t="n">
        <v>496.5</v>
      </c>
      <c r="F10" s="83" t="inlineStr">
        <is>
          <t>kg</t>
        </is>
      </c>
      <c r="G10" s="83" t="inlineStr">
        <is>
          <t>Vol Total × 15%</t>
        </is>
      </c>
    </row>
    <row r="11">
      <c r="A11" s="83" t="inlineStr"/>
      <c r="B11" s="83" t="inlineStr"/>
      <c r="C11" s="83" t="inlineStr"/>
      <c r="D11" s="83" t="inlineStr"/>
      <c r="E11" s="83" t="inlineStr"/>
      <c r="F11" s="83" t="inlineStr"/>
      <c r="G11" s="83" t="inlineStr"/>
    </row>
    <row r="12">
      <c r="A12" s="86" t="inlineStr">
        <is>
          <t>NIVEL 1 - NACIONAL (30% desc)</t>
        </is>
      </c>
      <c r="B12" s="86" t="inlineStr"/>
      <c r="C12" s="86" t="inlineStr"/>
      <c r="D12" s="86" t="inlineStr"/>
      <c r="E12" s="86" t="inlineStr"/>
      <c r="F12" s="86" t="inlineStr"/>
      <c r="G12" s="86" t="inlineStr"/>
    </row>
    <row r="13">
      <c r="A13" s="83" t="inlineStr">
        <is>
          <t>Competidores N1</t>
        </is>
      </c>
      <c r="B13" s="83" t="n">
        <v>5</v>
      </c>
      <c r="C13" s="83" t="n">
        <v>5</v>
      </c>
      <c r="D13" s="83" t="n">
        <v>6</v>
      </c>
      <c r="E13" s="83" t="n">
        <v>16</v>
      </c>
      <c r="F13" s="83" t="inlineStr">
        <is>
          <t>personas</t>
        </is>
      </c>
      <c r="G13" s="83" t="inlineStr">
        <is>
          <t>Cuota anual</t>
        </is>
      </c>
    </row>
    <row r="14">
      <c r="A14" s="83" t="inlineStr">
        <is>
          <t>Volumen por competidor N1</t>
        </is>
      </c>
      <c r="B14" s="83" t="n">
        <v>20</v>
      </c>
      <c r="C14" s="83" t="n">
        <v>20</v>
      </c>
      <c r="D14" s="83" t="n">
        <v>20</v>
      </c>
      <c r="E14" s="83" t="inlineStr"/>
      <c r="F14" s="83" t="inlineStr">
        <is>
          <t>kg</t>
        </is>
      </c>
      <c r="G14" s="83" t="inlineStr">
        <is>
          <t>Máximo permitido</t>
        </is>
      </c>
    </row>
    <row r="15">
      <c r="A15" s="83" t="inlineStr">
        <is>
          <t>Volumen Total N1</t>
        </is>
      </c>
      <c r="B15" s="83" t="n">
        <v>100</v>
      </c>
      <c r="C15" s="83" t="n">
        <v>100</v>
      </c>
      <c r="D15" s="83" t="n">
        <v>120</v>
      </c>
      <c r="E15" s="83" t="n">
        <v>320</v>
      </c>
      <c r="F15" s="83" t="inlineStr">
        <is>
          <t>kg</t>
        </is>
      </c>
      <c r="G15" s="83" t="inlineStr">
        <is>
          <t>Comp × Vol/comp</t>
        </is>
      </c>
    </row>
    <row r="16">
      <c r="A16" s="83" t="inlineStr">
        <is>
          <t>Volumen Total N1 (lbs)</t>
        </is>
      </c>
      <c r="B16" s="83" t="n">
        <v>220.5</v>
      </c>
      <c r="C16" s="83" t="n">
        <v>220.5</v>
      </c>
      <c r="D16" s="83" t="n">
        <v>264.6</v>
      </c>
      <c r="E16" s="83" t="n">
        <v>705.5</v>
      </c>
      <c r="F16" s="83" t="inlineStr">
        <is>
          <t>lbs</t>
        </is>
      </c>
      <c r="G16" s="83" t="inlineStr"/>
    </row>
    <row r="17">
      <c r="A17" s="83" t="inlineStr">
        <is>
          <t>Ingreso a PVP Completo</t>
        </is>
      </c>
      <c r="B17" s="83" t="n">
        <v>11022.5</v>
      </c>
      <c r="C17" s="83" t="n">
        <v>11022.5</v>
      </c>
      <c r="D17" s="83" t="n">
        <v>13227</v>
      </c>
      <c r="E17" s="83" t="n">
        <v>35272</v>
      </c>
      <c r="F17" s="83" t="inlineStr">
        <is>
          <t>USD</t>
        </is>
      </c>
      <c r="G17" s="83" t="inlineStr">
        <is>
          <t>lbs × $50</t>
        </is>
      </c>
    </row>
    <row r="18">
      <c r="A18" s="83" t="inlineStr">
        <is>
          <t>Ingreso Percibido (70%)</t>
        </is>
      </c>
      <c r="B18" s="83" t="n">
        <v>7715.8</v>
      </c>
      <c r="C18" s="83" t="n">
        <v>7715.8</v>
      </c>
      <c r="D18" s="83" t="n">
        <v>9259</v>
      </c>
      <c r="E18" s="83" t="n">
        <v>24690.5</v>
      </c>
      <c r="F18" s="83" t="inlineStr">
        <is>
          <t>USD</t>
        </is>
      </c>
      <c r="G18" s="83" t="inlineStr">
        <is>
          <t>70% del PVP</t>
        </is>
      </c>
    </row>
    <row r="19">
      <c r="A19" s="87" t="inlineStr">
        <is>
          <t>Ingreso No Percibido (30%)</t>
        </is>
      </c>
      <c r="B19" s="87" t="n">
        <v>3306.8</v>
      </c>
      <c r="C19" s="87" t="n">
        <v>3306.8</v>
      </c>
      <c r="D19" s="87" t="n">
        <v>3968</v>
      </c>
      <c r="E19" s="87" t="n">
        <v>10581.5</v>
      </c>
      <c r="F19" s="87" t="inlineStr">
        <is>
          <t>USD</t>
        </is>
      </c>
      <c r="G19" s="87" t="inlineStr">
        <is>
          <t>Subsidio N1</t>
        </is>
      </c>
    </row>
    <row r="20">
      <c r="A20" s="83" t="inlineStr"/>
      <c r="B20" s="83" t="inlineStr"/>
      <c r="C20" s="83" t="inlineStr"/>
      <c r="D20" s="83" t="inlineStr"/>
      <c r="E20" s="83" t="inlineStr"/>
      <c r="F20" s="83" t="inlineStr"/>
      <c r="G20" s="83" t="inlineStr"/>
    </row>
    <row r="21">
      <c r="A21" s="86" t="inlineStr">
        <is>
          <t>NIVEL 2A - MUNDIAL LEALTAD (100% gratis)</t>
        </is>
      </c>
      <c r="B21" s="86" t="inlineStr"/>
      <c r="C21" s="86" t="inlineStr"/>
      <c r="D21" s="86" t="inlineStr"/>
      <c r="E21" s="86" t="inlineStr"/>
      <c r="F21" s="86" t="inlineStr"/>
      <c r="G21" s="86" t="inlineStr"/>
    </row>
    <row r="22">
      <c r="A22" s="83" t="inlineStr">
        <is>
          <t>Competidores N2A (20% de N1)</t>
        </is>
      </c>
      <c r="B22" s="83" t="n">
        <v>1</v>
      </c>
      <c r="C22" s="83" t="n">
        <v>1</v>
      </c>
      <c r="D22" s="83" t="n">
        <v>1</v>
      </c>
      <c r="E22" s="83" t="n">
        <v>3</v>
      </c>
      <c r="F22" s="83" t="inlineStr">
        <is>
          <t>personas</t>
        </is>
      </c>
      <c r="G22" s="83" t="inlineStr">
        <is>
          <t>Tasa conversión</t>
        </is>
      </c>
    </row>
    <row r="23">
      <c r="A23" s="83" t="inlineStr">
        <is>
          <t>Volumen por competidor N2</t>
        </is>
      </c>
      <c r="B23" s="83" t="n">
        <v>50</v>
      </c>
      <c r="C23" s="83" t="n">
        <v>50</v>
      </c>
      <c r="D23" s="83" t="n">
        <v>50</v>
      </c>
      <c r="E23" s="83" t="inlineStr"/>
      <c r="F23" s="83" t="inlineStr">
        <is>
          <t>kg</t>
        </is>
      </c>
      <c r="G23" s="83" t="inlineStr">
        <is>
          <t>Máximo permitido</t>
        </is>
      </c>
    </row>
    <row r="24">
      <c r="A24" s="83" t="inlineStr">
        <is>
          <t>Volumen Total N2A</t>
        </is>
      </c>
      <c r="B24" s="83" t="n">
        <v>50</v>
      </c>
      <c r="C24" s="83" t="n">
        <v>50</v>
      </c>
      <c r="D24" s="83" t="n">
        <v>50</v>
      </c>
      <c r="E24" s="83" t="n">
        <v>150</v>
      </c>
      <c r="F24" s="83" t="inlineStr">
        <is>
          <t>kg</t>
        </is>
      </c>
      <c r="G24" s="83" t="inlineStr"/>
    </row>
    <row r="25">
      <c r="A25" s="83" t="inlineStr">
        <is>
          <t>Volumen Total N2A (lbs)</t>
        </is>
      </c>
      <c r="B25" s="83" t="n">
        <v>110.2</v>
      </c>
      <c r="C25" s="83" t="n">
        <v>110.2</v>
      </c>
      <c r="D25" s="83" t="n">
        <v>110.2</v>
      </c>
      <c r="E25" s="83" t="n">
        <v>330.7</v>
      </c>
      <c r="F25" s="83" t="inlineStr">
        <is>
          <t>lbs</t>
        </is>
      </c>
      <c r="G25" s="83" t="inlineStr"/>
    </row>
    <row r="26">
      <c r="A26" s="87" t="inlineStr">
        <is>
          <t>Ingreso No Percibido (100%)</t>
        </is>
      </c>
      <c r="B26" s="87" t="n">
        <v>5511.5</v>
      </c>
      <c r="C26" s="87" t="n">
        <v>5511.5</v>
      </c>
      <c r="D26" s="87" t="n">
        <v>5511.5</v>
      </c>
      <c r="E26" s="87" t="n">
        <v>16534.5</v>
      </c>
      <c r="F26" s="87" t="inlineStr">
        <is>
          <t>USD</t>
        </is>
      </c>
      <c r="G26" s="87" t="inlineStr">
        <is>
          <t>100% del PVP</t>
        </is>
      </c>
    </row>
    <row r="27">
      <c r="A27" s="83" t="inlineStr"/>
      <c r="B27" s="83" t="inlineStr"/>
      <c r="C27" s="83" t="inlineStr"/>
      <c r="D27" s="83" t="inlineStr"/>
      <c r="E27" s="83" t="inlineStr"/>
      <c r="F27" s="83" t="inlineStr"/>
      <c r="G27" s="83" t="inlineStr"/>
    </row>
    <row r="28">
      <c r="A28" s="86" t="inlineStr">
        <is>
          <t>NIVEL 2B - MUNDIAL NUEVO (70% desc)</t>
        </is>
      </c>
      <c r="B28" s="86" t="inlineStr"/>
      <c r="C28" s="86" t="inlineStr"/>
      <c r="D28" s="86" t="inlineStr"/>
      <c r="E28" s="86" t="inlineStr"/>
      <c r="F28" s="86" t="inlineStr"/>
      <c r="G28" s="86" t="inlineStr"/>
    </row>
    <row r="29">
      <c r="A29" s="83" t="inlineStr">
        <is>
          <t>Competidores N2B</t>
        </is>
      </c>
      <c r="B29" s="83" t="n">
        <v>1</v>
      </c>
      <c r="C29" s="83" t="n">
        <v>1</v>
      </c>
      <c r="D29" s="83" t="n">
        <v>2</v>
      </c>
      <c r="E29" s="83" t="n">
        <v>4</v>
      </c>
      <c r="F29" s="83" t="inlineStr">
        <is>
          <t>personas</t>
        </is>
      </c>
      <c r="G29" s="83" t="inlineStr">
        <is>
          <t>Cuota anual</t>
        </is>
      </c>
    </row>
    <row r="30">
      <c r="A30" s="83" t="inlineStr">
        <is>
          <t>Volumen Total N2B</t>
        </is>
      </c>
      <c r="B30" s="83" t="n">
        <v>50</v>
      </c>
      <c r="C30" s="83" t="n">
        <v>50</v>
      </c>
      <c r="D30" s="83" t="n">
        <v>100</v>
      </c>
      <c r="E30" s="83" t="n">
        <v>200</v>
      </c>
      <c r="F30" s="83" t="inlineStr">
        <is>
          <t>kg</t>
        </is>
      </c>
      <c r="G30" s="83" t="inlineStr"/>
    </row>
    <row r="31">
      <c r="A31" s="83" t="inlineStr">
        <is>
          <t>Volumen Total N2B (lbs)</t>
        </is>
      </c>
      <c r="B31" s="83" t="n">
        <v>110.2</v>
      </c>
      <c r="C31" s="83" t="n">
        <v>110.2</v>
      </c>
      <c r="D31" s="83" t="n">
        <v>220.5</v>
      </c>
      <c r="E31" s="83" t="n">
        <v>440.9</v>
      </c>
      <c r="F31" s="83" t="inlineStr">
        <is>
          <t>lbs</t>
        </is>
      </c>
      <c r="G31" s="83" t="inlineStr"/>
    </row>
    <row r="32">
      <c r="A32" s="83" t="inlineStr">
        <is>
          <t>Ingreso a PVP Completo</t>
        </is>
      </c>
      <c r="B32" s="83" t="n">
        <v>5511.5</v>
      </c>
      <c r="C32" s="83" t="n">
        <v>5511.5</v>
      </c>
      <c r="D32" s="83" t="n">
        <v>11022.5</v>
      </c>
      <c r="E32" s="83" t="n">
        <v>22045.5</v>
      </c>
      <c r="F32" s="83" t="inlineStr">
        <is>
          <t>USD</t>
        </is>
      </c>
      <c r="G32" s="83" t="inlineStr"/>
    </row>
    <row r="33">
      <c r="A33" s="83" t="inlineStr">
        <is>
          <t>Ingreso Percibido (30%)</t>
        </is>
      </c>
      <c r="B33" s="83" t="n">
        <v>1653.5</v>
      </c>
      <c r="C33" s="83" t="n">
        <v>1653.5</v>
      </c>
      <c r="D33" s="83" t="n">
        <v>3306.8</v>
      </c>
      <c r="E33" s="83" t="n">
        <v>6613.7</v>
      </c>
      <c r="F33" s="83" t="inlineStr">
        <is>
          <t>USD</t>
        </is>
      </c>
      <c r="G33" s="83" t="inlineStr">
        <is>
          <t>30% del PVP</t>
        </is>
      </c>
    </row>
    <row r="34">
      <c r="A34" s="87" t="inlineStr">
        <is>
          <t>Ingreso No Percibido (70%)</t>
        </is>
      </c>
      <c r="B34" s="87" t="n">
        <v>3858</v>
      </c>
      <c r="C34" s="87" t="n">
        <v>3858</v>
      </c>
      <c r="D34" s="87" t="n">
        <v>7715.8</v>
      </c>
      <c r="E34" s="87" t="n">
        <v>15431.8</v>
      </c>
      <c r="F34" s="87" t="inlineStr">
        <is>
          <t>USD</t>
        </is>
      </c>
      <c r="G34" s="87" t="inlineStr">
        <is>
          <t>Subsidio N2B</t>
        </is>
      </c>
    </row>
    <row r="35">
      <c r="A35" s="83" t="inlineStr"/>
      <c r="B35" s="83" t="inlineStr"/>
      <c r="C35" s="83" t="inlineStr"/>
      <c r="D35" s="83" t="inlineStr"/>
      <c r="E35" s="83" t="inlineStr"/>
      <c r="F35" s="83" t="inlineStr"/>
      <c r="G35" s="83" t="inlineStr"/>
    </row>
    <row r="36">
      <c r="A36" s="86" t="inlineStr">
        <is>
          <t>RESUMEN SUBSIDIOS</t>
        </is>
      </c>
      <c r="B36" s="86" t="inlineStr"/>
      <c r="C36" s="86" t="inlineStr"/>
      <c r="D36" s="86" t="inlineStr"/>
      <c r="E36" s="86" t="inlineStr"/>
      <c r="F36" s="86" t="inlineStr"/>
      <c r="G36" s="86" t="inlineStr"/>
    </row>
    <row r="37">
      <c r="A37" s="83" t="inlineStr">
        <is>
          <t>Volumen Total Subsidiado</t>
        </is>
      </c>
      <c r="B37" s="83" t="n">
        <v>200</v>
      </c>
      <c r="C37" s="83" t="n">
        <v>200</v>
      </c>
      <c r="D37" s="83" t="n">
        <v>270</v>
      </c>
      <c r="E37" s="83" t="n">
        <v>670</v>
      </c>
      <c r="F37" s="83" t="inlineStr">
        <is>
          <t>kg</t>
        </is>
      </c>
      <c r="G37" s="83" t="inlineStr">
        <is>
          <t>N1 + N2A + N2B</t>
        </is>
      </c>
    </row>
    <row r="38">
      <c r="A38" s="83" t="inlineStr">
        <is>
          <t>% del Volumen Total</t>
        </is>
      </c>
      <c r="B38" s="83" t="inlineStr">
        <is>
          <t>20.0%</t>
        </is>
      </c>
      <c r="C38" s="83" t="inlineStr">
        <is>
          <t>18.2%</t>
        </is>
      </c>
      <c r="D38" s="83" t="inlineStr">
        <is>
          <t>22.3%</t>
        </is>
      </c>
      <c r="E38" s="83" t="inlineStr">
        <is>
          <t>20.2%</t>
        </is>
      </c>
      <c r="F38" s="83" t="inlineStr">
        <is>
          <t>%</t>
        </is>
      </c>
      <c r="G38" s="83" t="inlineStr">
        <is>
          <t>Límite: 15%</t>
        </is>
      </c>
    </row>
    <row r="39">
      <c r="A39" s="87" t="inlineStr">
        <is>
          <t>Total Ingreso No Percibido</t>
        </is>
      </c>
      <c r="B39" s="87" t="n">
        <v>12676.3</v>
      </c>
      <c r="C39" s="87" t="n">
        <v>12676.3</v>
      </c>
      <c r="D39" s="87" t="n">
        <v>17195.3</v>
      </c>
      <c r="E39" s="87" t="n">
        <v>42547.8</v>
      </c>
      <c r="F39" s="87" t="inlineStr">
        <is>
          <t>USD</t>
        </is>
      </c>
      <c r="G39" s="87" t="inlineStr">
        <is>
          <t>Costo subsidio</t>
        </is>
      </c>
    </row>
    <row r="40">
      <c r="A40" s="83" t="inlineStr"/>
      <c r="B40" s="83" t="inlineStr"/>
      <c r="C40" s="83" t="inlineStr"/>
      <c r="D40" s="83" t="inlineStr"/>
      <c r="E40" s="83" t="inlineStr"/>
      <c r="F40" s="83" t="inlineStr"/>
      <c r="G40" s="83" t="inlineStr"/>
    </row>
    <row r="41">
      <c r="A41" s="86" t="inlineStr">
        <is>
          <t>VALIDACIÓN</t>
        </is>
      </c>
      <c r="B41" s="86" t="inlineStr"/>
      <c r="C41" s="86" t="inlineStr"/>
      <c r="D41" s="86" t="inlineStr"/>
      <c r="E41" s="86" t="inlineStr"/>
      <c r="F41" s="86" t="inlineStr"/>
      <c r="G41" s="86" t="inlineStr"/>
    </row>
    <row r="42">
      <c r="A42" s="83" t="inlineStr">
        <is>
          <t>Volumen NO subsidiado</t>
        </is>
      </c>
      <c r="B42" s="83" t="n">
        <v>800</v>
      </c>
      <c r="C42" s="83" t="n">
        <v>900</v>
      </c>
      <c r="D42" s="83" t="n">
        <v>940</v>
      </c>
      <c r="E42" s="83" t="n">
        <v>2640</v>
      </c>
      <c r="F42" s="83" t="inlineStr">
        <is>
          <t>kg</t>
        </is>
      </c>
      <c r="G42" s="83" t="inlineStr"/>
    </row>
    <row r="43">
      <c r="A43" s="83" t="inlineStr">
        <is>
          <t>Ingreso Vol. NO subsidiado</t>
        </is>
      </c>
      <c r="B43" s="83" t="n">
        <v>88180</v>
      </c>
      <c r="C43" s="83" t="n">
        <v>99202.5</v>
      </c>
      <c r="D43" s="83" t="n">
        <v>103610.8</v>
      </c>
      <c r="E43" s="83" t="n">
        <v>290993.3</v>
      </c>
      <c r="F43" s="83" t="inlineStr">
        <is>
          <t>USD</t>
        </is>
      </c>
      <c r="G43" s="83" t="inlineStr">
        <is>
          <t>@$50/lb</t>
        </is>
      </c>
    </row>
    <row r="44">
      <c r="A44" s="83" t="inlineStr">
        <is>
          <t>Ingreso Total (con subsidios)</t>
        </is>
      </c>
      <c r="B44" s="83" t="n">
        <v>97549.3</v>
      </c>
      <c r="C44" s="83" t="n">
        <v>108571.8</v>
      </c>
      <c r="D44" s="83" t="n">
        <v>114176.6</v>
      </c>
      <c r="E44" s="83" t="n">
        <v>320297.5</v>
      </c>
      <c r="F44" s="83" t="inlineStr">
        <is>
          <t>USD</t>
        </is>
      </c>
      <c r="G44" s="83" t="inlineStr"/>
    </row>
    <row r="45">
      <c r="A45" s="88" t="inlineStr">
        <is>
          <t>Precio Prom. Ponderado</t>
        </is>
      </c>
      <c r="B45" s="88" t="n">
        <v>44.24</v>
      </c>
      <c r="C45" s="88" t="n">
        <v>44.77</v>
      </c>
      <c r="D45" s="88" t="n">
        <v>42.79</v>
      </c>
      <c r="E45" s="88" t="n">
        <v>43.89</v>
      </c>
      <c r="F45" s="88" t="inlineStr">
        <is>
          <t>USD/lb</t>
        </is>
      </c>
      <c r="G45" s="88" t="inlineStr">
        <is>
          <t>≥$42 ✓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35" customWidth="1" style="40" min="1" max="1"/>
    <col width="14" customWidth="1" style="40" min="2" max="2"/>
    <col width="14" customWidth="1" style="40" min="3" max="3"/>
    <col width="14" customWidth="1" style="40" min="4" max="4"/>
    <col width="14" customWidth="1" style="40" min="5" max="5"/>
    <col width="25" customWidth="1" style="40" min="6" max="6"/>
  </cols>
  <sheetData>
    <row r="1">
      <c r="A1" s="80" t="inlineStr">
        <is>
          <t>COSTOS OPERACIONALES DEL PROGRAMA BEAT SERIES</t>
        </is>
      </c>
    </row>
    <row r="3">
      <c r="A3" s="82" t="inlineStr">
        <is>
          <t>Concepto</t>
        </is>
      </c>
      <c r="B3" s="82" t="inlineStr">
        <is>
          <t>Año 1</t>
        </is>
      </c>
      <c r="C3" s="82" t="inlineStr">
        <is>
          <t>Año 2</t>
        </is>
      </c>
      <c r="D3" s="82" t="inlineStr">
        <is>
          <t>Año 3</t>
        </is>
      </c>
      <c r="E3" s="82" t="inlineStr">
        <is>
          <t>Total 3 Años</t>
        </is>
      </c>
      <c r="F3" s="82" t="inlineStr">
        <is>
          <t>Notas</t>
        </is>
      </c>
    </row>
    <row r="4">
      <c r="A4" s="83" t="inlineStr"/>
      <c r="B4" s="83" t="inlineStr"/>
      <c r="C4" s="83" t="inlineStr"/>
      <c r="D4" s="83" t="inlineStr"/>
      <c r="E4" s="83" t="inlineStr"/>
      <c r="F4" s="83" t="inlineStr"/>
    </row>
    <row r="5">
      <c r="A5" s="86" t="inlineStr">
        <is>
          <t>COSTOS DE SUBSIDIO (Ingreso No Percibido)</t>
        </is>
      </c>
      <c r="B5" s="86" t="inlineStr"/>
      <c r="C5" s="86" t="inlineStr"/>
      <c r="D5" s="86" t="inlineStr"/>
      <c r="E5" s="86" t="inlineStr"/>
      <c r="F5" s="86" t="inlineStr"/>
    </row>
    <row r="6">
      <c r="A6" s="83" t="inlineStr">
        <is>
          <t>Subsidio Nivel 1 (30%)</t>
        </is>
      </c>
      <c r="B6" s="83" t="n">
        <v>3306.8</v>
      </c>
      <c r="C6" s="83" t="n">
        <v>3306.8</v>
      </c>
      <c r="D6" s="83" t="n">
        <v>3968</v>
      </c>
      <c r="E6" s="83" t="n">
        <v>10581.5</v>
      </c>
      <c r="F6" s="83" t="inlineStr"/>
    </row>
    <row r="7">
      <c r="A7" s="83" t="inlineStr">
        <is>
          <t>Subsidio Nivel 2A (100%)</t>
        </is>
      </c>
      <c r="B7" s="83" t="n">
        <v>5511.5</v>
      </c>
      <c r="C7" s="83" t="n">
        <v>5511.5</v>
      </c>
      <c r="D7" s="83" t="n">
        <v>5511.5</v>
      </c>
      <c r="E7" s="83" t="n">
        <v>16534.5</v>
      </c>
      <c r="F7" s="83" t="inlineStr"/>
    </row>
    <row r="8">
      <c r="A8" s="83" t="inlineStr">
        <is>
          <t>Subsidio Nivel 2B (70%)</t>
        </is>
      </c>
      <c r="B8" s="83" t="n">
        <v>3858</v>
      </c>
      <c r="C8" s="83" t="n">
        <v>3858</v>
      </c>
      <c r="D8" s="83" t="n">
        <v>7715.8</v>
      </c>
      <c r="E8" s="83" t="n">
        <v>15431.8</v>
      </c>
      <c r="F8" s="83" t="inlineStr"/>
    </row>
    <row r="9">
      <c r="A9" s="88" t="inlineStr">
        <is>
          <t>Subtotal Subsidios</t>
        </is>
      </c>
      <c r="B9" s="88" t="n">
        <v>12676.3</v>
      </c>
      <c r="C9" s="88" t="n">
        <v>12676.3</v>
      </c>
      <c r="D9" s="88" t="n">
        <v>17195.3</v>
      </c>
      <c r="E9" s="88" t="n">
        <v>42547.8</v>
      </c>
      <c r="F9" s="88" t="inlineStr">
        <is>
          <t>Gasto Marketing</t>
        </is>
      </c>
    </row>
    <row r="10">
      <c r="A10" s="83" t="inlineStr"/>
      <c r="B10" s="83" t="inlineStr"/>
      <c r="C10" s="83" t="inlineStr"/>
      <c r="D10" s="83" t="inlineStr"/>
      <c r="E10" s="83" t="inlineStr"/>
      <c r="F10" s="83" t="inlineStr"/>
    </row>
    <row r="11">
      <c r="A11" s="83" t="inlineStr">
        <is>
          <t>COSTOS LOGÍSTICOS</t>
        </is>
      </c>
      <c r="B11" s="83" t="inlineStr"/>
      <c r="C11" s="83" t="inlineStr"/>
      <c r="D11" s="83" t="inlineStr"/>
      <c r="E11" s="83" t="inlineStr"/>
      <c r="F11" s="83" t="inlineStr"/>
    </row>
    <row r="12">
      <c r="A12" s="83" t="inlineStr">
        <is>
          <t>Envío Internacional N2A</t>
        </is>
      </c>
      <c r="B12" s="83" t="n">
        <v>350</v>
      </c>
      <c r="C12" s="83" t="n">
        <v>350</v>
      </c>
      <c r="D12" s="83" t="n">
        <v>350</v>
      </c>
      <c r="E12" s="83" t="n">
        <v>1050</v>
      </c>
      <c r="F12" s="83" t="inlineStr">
        <is>
          <t>1 envío 50kg/año</t>
        </is>
      </c>
    </row>
    <row r="13">
      <c r="A13" s="83" t="inlineStr">
        <is>
          <t>Envío Internacional N2B</t>
        </is>
      </c>
      <c r="B13" s="83" t="n">
        <v>350</v>
      </c>
      <c r="C13" s="83" t="n">
        <v>350</v>
      </c>
      <c r="D13" s="83" t="n">
        <v>700</v>
      </c>
      <c r="E13" s="83" t="n">
        <v>1400</v>
      </c>
      <c r="F13" s="83" t="inlineStr">
        <is>
          <t>1-2 envíos/año</t>
        </is>
      </c>
    </row>
    <row r="14">
      <c r="A14" s="88" t="inlineStr">
        <is>
          <t>Subtotal Logística</t>
        </is>
      </c>
      <c r="B14" s="88" t="n">
        <v>700</v>
      </c>
      <c r="C14" s="88" t="n">
        <v>700</v>
      </c>
      <c r="D14" s="88" t="n">
        <v>1050</v>
      </c>
      <c r="E14" s="88" t="n">
        <v>2450</v>
      </c>
      <c r="F14" s="88" t="inlineStr"/>
    </row>
    <row r="15">
      <c r="A15" s="83" t="inlineStr"/>
      <c r="B15" s="83" t="inlineStr"/>
      <c r="C15" s="83" t="inlineStr"/>
      <c r="D15" s="83" t="inlineStr"/>
      <c r="E15" s="83" t="inlineStr"/>
      <c r="F15" s="83" t="inlineStr"/>
    </row>
    <row r="16">
      <c r="A16" s="86" t="inlineStr">
        <is>
          <t>COSTOS DE MERCHANDISING</t>
        </is>
      </c>
      <c r="B16" s="86" t="inlineStr"/>
      <c r="C16" s="86" t="inlineStr"/>
      <c r="D16" s="86" t="inlineStr"/>
      <c r="E16" s="86" t="inlineStr"/>
      <c r="F16" s="86" t="inlineStr"/>
    </row>
    <row r="17">
      <c r="A17" s="83" t="inlineStr">
        <is>
          <t>Kits Bienvenida N1 ($50×5)</t>
        </is>
      </c>
      <c r="B17" s="83" t="n">
        <v>250</v>
      </c>
      <c r="C17" s="83" t="n">
        <v>250</v>
      </c>
      <c r="D17" s="83" t="n">
        <v>300</v>
      </c>
      <c r="E17" s="83" t="n">
        <v>800</v>
      </c>
      <c r="F17" s="83" t="inlineStr"/>
    </row>
    <row r="18">
      <c r="A18" s="83" t="inlineStr">
        <is>
          <t>Kits Premium N2 ($150×2)</t>
        </is>
      </c>
      <c r="B18" s="83" t="n">
        <v>300</v>
      </c>
      <c r="C18" s="83" t="n">
        <v>300</v>
      </c>
      <c r="D18" s="83" t="n">
        <v>450</v>
      </c>
      <c r="E18" s="83" t="n">
        <v>1050</v>
      </c>
      <c r="F18" s="83" t="inlineStr"/>
    </row>
    <row r="19">
      <c r="A19" s="88" t="inlineStr">
        <is>
          <t>Subtotal Merchandising</t>
        </is>
      </c>
      <c r="B19" s="88" t="n">
        <v>550</v>
      </c>
      <c r="C19" s="88" t="n">
        <v>550</v>
      </c>
      <c r="D19" s="88" t="n">
        <v>750</v>
      </c>
      <c r="E19" s="88" t="n">
        <v>1850</v>
      </c>
      <c r="F19" s="88" t="inlineStr"/>
    </row>
    <row r="20">
      <c r="A20" s="83" t="inlineStr"/>
      <c r="B20" s="83" t="inlineStr"/>
      <c r="C20" s="83" t="inlineStr"/>
      <c r="D20" s="83" t="inlineStr"/>
      <c r="E20" s="83" t="inlineStr"/>
      <c r="F20" s="83" t="inlineStr"/>
    </row>
    <row r="21">
      <c r="A21" s="86" t="inlineStr">
        <is>
          <t>COSTOS DE SOPORTE TÉCNICO</t>
        </is>
      </c>
      <c r="B21" s="86" t="inlineStr"/>
      <c r="C21" s="86" t="inlineStr"/>
      <c r="D21" s="86" t="inlineStr"/>
      <c r="E21" s="86" t="inlineStr"/>
      <c r="F21" s="86" t="inlineStr"/>
    </row>
    <row r="22">
      <c r="A22" s="83" t="inlineStr">
        <is>
          <t>Horas N2 (20h×$25×2 comp)</t>
        </is>
      </c>
      <c r="B22" s="83" t="n">
        <v>1000</v>
      </c>
      <c r="C22" s="83" t="n">
        <v>1000</v>
      </c>
      <c r="D22" s="83" t="n">
        <v>1500</v>
      </c>
      <c r="E22" s="83" t="n">
        <v>3500</v>
      </c>
      <c r="F22" s="83" t="inlineStr">
        <is>
          <t>Q-Grader + Tostador</t>
        </is>
      </c>
    </row>
    <row r="23">
      <c r="A23" s="88" t="inlineStr">
        <is>
          <t>Subtotal Soporte</t>
        </is>
      </c>
      <c r="B23" s="88" t="n">
        <v>1000</v>
      </c>
      <c r="C23" s="88" t="n">
        <v>1000</v>
      </c>
      <c r="D23" s="88" t="n">
        <v>1500</v>
      </c>
      <c r="E23" s="88" t="n">
        <v>3500</v>
      </c>
      <c r="F23" s="88" t="inlineStr"/>
    </row>
    <row r="24">
      <c r="A24" s="83" t="inlineStr"/>
      <c r="B24" s="83" t="inlineStr"/>
      <c r="C24" s="83" t="inlineStr"/>
      <c r="D24" s="83" t="inlineStr"/>
      <c r="E24" s="83" t="inlineStr"/>
      <c r="F24" s="83" t="inlineStr"/>
    </row>
    <row r="25">
      <c r="A25" s="86" t="inlineStr">
        <is>
          <t>COSTOS DE MARKETING Y EVENTOS</t>
        </is>
      </c>
      <c r="B25" s="86" t="inlineStr"/>
      <c r="C25" s="86" t="inlineStr"/>
      <c r="D25" s="86" t="inlineStr"/>
      <c r="E25" s="86" t="inlineStr"/>
      <c r="F25" s="86" t="inlineStr"/>
    </row>
    <row r="26">
      <c r="A26" s="83" t="inlineStr">
        <is>
          <t>Marketing y Contenido</t>
        </is>
      </c>
      <c r="B26" s="83" t="n">
        <v>2000</v>
      </c>
      <c r="C26" s="83" t="n">
        <v>2000</v>
      </c>
      <c r="D26" s="83" t="n">
        <v>2500</v>
      </c>
      <c r="E26" s="83" t="n">
        <v>6500</v>
      </c>
      <c r="F26" s="83" t="inlineStr">
        <is>
          <t>Videos, fotos, PR</t>
        </is>
      </c>
    </row>
    <row r="27">
      <c r="A27" s="83" t="inlineStr">
        <is>
          <t>Eventos Post-Competencia</t>
        </is>
      </c>
      <c r="B27" s="83" t="n">
        <v>1500</v>
      </c>
      <c r="C27" s="83" t="n">
        <v>1500</v>
      </c>
      <c r="D27" s="83" t="n">
        <v>2000</v>
      </c>
      <c r="E27" s="83" t="n">
        <v>5000</v>
      </c>
      <c r="F27" s="83" t="inlineStr">
        <is>
          <t>Viáticos, muestras</t>
        </is>
      </c>
    </row>
    <row r="28">
      <c r="A28" s="88" t="inlineStr">
        <is>
          <t>Subtotal Marketing</t>
        </is>
      </c>
      <c r="B28" s="88" t="n">
        <v>3500</v>
      </c>
      <c r="C28" s="88" t="n">
        <v>3500</v>
      </c>
      <c r="D28" s="88" t="n">
        <v>4500</v>
      </c>
      <c r="E28" s="88" t="n">
        <v>11500</v>
      </c>
      <c r="F28" s="88" t="inlineStr"/>
    </row>
    <row r="29">
      <c r="A29" s="83" t="inlineStr"/>
      <c r="B29" s="83" t="inlineStr"/>
      <c r="C29" s="83" t="inlineStr"/>
      <c r="D29" s="83" t="inlineStr"/>
      <c r="E29" s="83" t="inlineStr"/>
      <c r="F29" s="83" t="inlineStr"/>
    </row>
    <row r="30">
      <c r="A30" s="86" t="inlineStr">
        <is>
          <t>RESUMEN DE COSTOS</t>
        </is>
      </c>
      <c r="B30" s="86" t="inlineStr"/>
      <c r="C30" s="86" t="inlineStr"/>
      <c r="D30" s="86" t="inlineStr"/>
      <c r="E30" s="86" t="inlineStr"/>
      <c r="F30" s="86" t="inlineStr"/>
    </row>
    <row r="31">
      <c r="A31" s="83" t="inlineStr">
        <is>
          <t>Total Costos Operativos</t>
        </is>
      </c>
      <c r="B31" s="83" t="n">
        <v>5750</v>
      </c>
      <c r="C31" s="83" t="n">
        <v>5750</v>
      </c>
      <c r="D31" s="83" t="n">
        <v>7800</v>
      </c>
      <c r="E31" s="83" t="n">
        <v>19300</v>
      </c>
      <c r="F31" s="83" t="inlineStr">
        <is>
          <t>Sin subsidios</t>
        </is>
      </c>
    </row>
    <row r="32">
      <c r="A32" s="89" t="inlineStr">
        <is>
          <t>Total Costos + Subsidios</t>
        </is>
      </c>
      <c r="B32" s="89" t="n">
        <v>18426.3</v>
      </c>
      <c r="C32" s="89" t="n">
        <v>18426.3</v>
      </c>
      <c r="D32" s="89" t="n">
        <v>24995.3</v>
      </c>
      <c r="E32" s="89" t="n">
        <v>61847.8</v>
      </c>
      <c r="F32" s="89" t="inlineStr">
        <is>
          <t>Inversión total</t>
        </is>
      </c>
    </row>
    <row r="33">
      <c r="A33" s="83" t="inlineStr"/>
      <c r="B33" s="83" t="inlineStr"/>
      <c r="C33" s="83" t="inlineStr"/>
      <c r="D33" s="83" t="inlineStr"/>
      <c r="E33" s="83" t="inlineStr"/>
      <c r="F33" s="83" t="inlineStr"/>
    </row>
    <row r="34">
      <c r="A34" s="86" t="inlineStr">
        <is>
          <t>ANÁLISIS</t>
        </is>
      </c>
      <c r="B34" s="86" t="inlineStr"/>
      <c r="C34" s="86" t="inlineStr"/>
      <c r="D34" s="86" t="inlineStr"/>
      <c r="E34" s="86" t="inlineStr"/>
      <c r="F34" s="86" t="inlineStr"/>
    </row>
    <row r="35">
      <c r="A35" s="83" t="inlineStr">
        <is>
          <t>Costo por Competidor N1</t>
        </is>
      </c>
      <c r="B35" s="83" t="n">
        <v>716.4</v>
      </c>
      <c r="C35" s="83" t="n">
        <v>716.4</v>
      </c>
      <c r="D35" s="83" t="n">
        <v>761.7</v>
      </c>
      <c r="E35" s="83" t="inlineStr"/>
      <c r="F35" s="83" t="inlineStr">
        <is>
          <t>Subsidio+Kit+Proporc.</t>
        </is>
      </c>
    </row>
    <row r="36">
      <c r="A36" s="83" t="inlineStr">
        <is>
          <t>Costo por Competidor N2</t>
        </is>
      </c>
      <c r="B36" s="83" t="n">
        <v>8029.8</v>
      </c>
      <c r="C36" s="83" t="n">
        <v>8029.8</v>
      </c>
      <c r="D36" s="83" t="n">
        <v>6147.8</v>
      </c>
      <c r="E36" s="83" t="inlineStr"/>
      <c r="F36" s="83" t="inlineStr">
        <is>
          <t>Todo incluido</t>
        </is>
      </c>
    </row>
    <row r="37">
      <c r="A37" s="83" t="inlineStr">
        <is>
          <t>% de Ingresos Totales</t>
        </is>
      </c>
      <c r="B37" s="83" t="inlineStr">
        <is>
          <t>1.89%</t>
        </is>
      </c>
      <c r="C37" s="83" t="inlineStr">
        <is>
          <t>1.70%</t>
        </is>
      </c>
      <c r="D37" s="83" t="inlineStr">
        <is>
          <t>2.19%</t>
        </is>
      </c>
      <c r="E37" s="83" t="inlineStr">
        <is>
          <t>1.92%</t>
        </is>
      </c>
      <c r="F37" s="83" t="inlineStr">
        <is>
          <t>vs Ingresos LPET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35" customWidth="1" style="40" min="1" max="1"/>
    <col width="15" customWidth="1" style="40" min="2" max="2"/>
    <col width="15" customWidth="1" style="40" min="3" max="3"/>
    <col width="15" customWidth="1" style="40" min="4" max="4"/>
    <col width="15" customWidth="1" style="40" min="5" max="5"/>
    <col width="15" customWidth="1" style="40" min="6" max="6"/>
  </cols>
  <sheetData>
    <row r="1">
      <c r="A1" s="80" t="inlineStr">
        <is>
          <t>ANÁLISIS DE ROI Y KPIs ESTRATÉGICOS - BEAT SERIES</t>
        </is>
      </c>
    </row>
    <row r="3">
      <c r="A3" s="81" t="inlineStr">
        <is>
          <t>A. MÉTRICAS FINANCIERAS CLAVE</t>
        </is>
      </c>
    </row>
    <row r="5">
      <c r="A5" s="82" t="inlineStr">
        <is>
          <t>Métrica</t>
        </is>
      </c>
      <c r="B5" s="82" t="inlineStr">
        <is>
          <t>Año 1</t>
        </is>
      </c>
      <c r="C5" s="82" t="inlineStr">
        <is>
          <t>Año 2</t>
        </is>
      </c>
      <c r="D5" s="82" t="inlineStr">
        <is>
          <t>Año 3</t>
        </is>
      </c>
      <c r="E5" s="82" t="inlineStr">
        <is>
          <t>Promedio/Total</t>
        </is>
      </c>
      <c r="F5" s="82" t="inlineStr">
        <is>
          <t>Objetivo</t>
        </is>
      </c>
    </row>
    <row r="6">
      <c r="A6" s="83" t="inlineStr">
        <is>
          <t>Costo Total del Programa</t>
        </is>
      </c>
      <c r="B6" s="83" t="n">
        <v>18426</v>
      </c>
      <c r="C6" s="83" t="n">
        <v>18426</v>
      </c>
      <c r="D6" s="83" t="n">
        <v>24995</v>
      </c>
      <c r="E6" s="83" t="n">
        <v>61848</v>
      </c>
      <c r="F6" s="83" t="inlineStr">
        <is>
          <t>&lt;$25,000/año</t>
        </is>
      </c>
    </row>
    <row r="7">
      <c r="A7" s="83" t="inlineStr">
        <is>
          <t>Volumen Subsidiado (%)</t>
        </is>
      </c>
      <c r="B7" s="83" t="inlineStr">
        <is>
          <t>20.0%</t>
        </is>
      </c>
      <c r="C7" s="83" t="inlineStr">
        <is>
          <t>18.2%</t>
        </is>
      </c>
      <c r="D7" s="83" t="inlineStr">
        <is>
          <t>22.3%</t>
        </is>
      </c>
      <c r="E7" s="83" t="inlineStr">
        <is>
          <t>20.2%</t>
        </is>
      </c>
      <c r="F7" s="83" t="inlineStr">
        <is>
          <t>≤15%</t>
        </is>
      </c>
    </row>
    <row r="8">
      <c r="A8" s="83" t="inlineStr">
        <is>
          <t>Precio Prom. Ponderado ($/lb)</t>
        </is>
      </c>
      <c r="B8" s="83" t="n">
        <v>44.24</v>
      </c>
      <c r="C8" s="83" t="n">
        <v>44.77</v>
      </c>
      <c r="D8" s="83" t="n">
        <v>42.79</v>
      </c>
      <c r="E8" s="83" t="n">
        <v>43.89</v>
      </c>
      <c r="F8" s="83" t="inlineStr">
        <is>
          <t>≥$42/lb</t>
        </is>
      </c>
    </row>
    <row r="9">
      <c r="A9" s="83" t="inlineStr">
        <is>
          <t>Ingreso Incremental B2B Est.</t>
        </is>
      </c>
      <c r="B9" s="83" t="n">
        <v>15000</v>
      </c>
      <c r="C9" s="83" t="n">
        <v>20000</v>
      </c>
      <c r="D9" s="83" t="n">
        <v>30000</v>
      </c>
      <c r="E9" s="83" t="n">
        <v>65000</v>
      </c>
      <c r="F9" s="83" t="inlineStr">
        <is>
          <t>+10-20%</t>
        </is>
      </c>
    </row>
    <row r="10">
      <c r="A10" s="83" t="inlineStr">
        <is>
          <t>Ingreso Incremental B2C Est.</t>
        </is>
      </c>
      <c r="B10" s="83" t="n">
        <v>5000</v>
      </c>
      <c r="C10" s="83" t="n">
        <v>7500</v>
      </c>
      <c r="D10" s="83" t="n">
        <v>12000</v>
      </c>
      <c r="E10" s="83" t="n">
        <v>24500</v>
      </c>
      <c r="F10" s="83" t="inlineStr">
        <is>
          <t>Ediciones especiales</t>
        </is>
      </c>
    </row>
    <row r="11">
      <c r="A11" s="83" t="inlineStr">
        <is>
          <t>ROI Estimado (Ing.Incr./Costo)</t>
        </is>
      </c>
      <c r="B11" s="83" t="n">
        <v>1.08</v>
      </c>
      <c r="C11" s="83" t="n">
        <v>1.49</v>
      </c>
      <c r="D11" s="83" t="n">
        <v>1.68</v>
      </c>
      <c r="E11" s="83" t="n">
        <v>1.45</v>
      </c>
      <c r="F11" s="83" t="inlineStr">
        <is>
          <t>&gt;1.0</t>
        </is>
      </c>
    </row>
    <row r="12">
      <c r="A12" s="83" t="inlineStr"/>
      <c r="B12" s="83" t="inlineStr"/>
      <c r="C12" s="83" t="inlineStr"/>
      <c r="D12" s="83" t="inlineStr"/>
      <c r="E12" s="83" t="inlineStr"/>
      <c r="F12" s="83" t="inlineStr"/>
    </row>
    <row r="13">
      <c r="A13" s="86" t="inlineStr">
        <is>
          <t>VALIDACIÓN DE LÍMITES</t>
        </is>
      </c>
      <c r="B13" s="86" t="inlineStr"/>
      <c r="C13" s="86" t="inlineStr"/>
      <c r="D13" s="86" t="inlineStr"/>
      <c r="E13" s="86" t="inlineStr"/>
      <c r="F13" s="86" t="inlineStr"/>
    </row>
    <row r="14">
      <c r="A14" s="83" t="inlineStr">
        <is>
          <t>¿Volumen ≤ 15%?</t>
        </is>
      </c>
      <c r="B14" s="87" t="inlineStr">
        <is>
          <t>✗ NO</t>
        </is>
      </c>
      <c r="C14" s="87" t="inlineStr">
        <is>
          <t>✗ NO</t>
        </is>
      </c>
      <c r="D14" s="87" t="inlineStr">
        <is>
          <t>✗ NO</t>
        </is>
      </c>
      <c r="E14" s="83" t="inlineStr"/>
      <c r="F14" s="83" t="inlineStr">
        <is>
          <t>Ajustar cuotas</t>
        </is>
      </c>
    </row>
    <row r="15">
      <c r="A15" s="83" t="inlineStr">
        <is>
          <t>¿Precio ≥ $42/lb?</t>
        </is>
      </c>
      <c r="B15" s="90" t="inlineStr">
        <is>
          <t>✓ SÍ</t>
        </is>
      </c>
      <c r="C15" s="90" t="inlineStr">
        <is>
          <t>✓ SÍ</t>
        </is>
      </c>
      <c r="D15" s="90" t="inlineStr">
        <is>
          <t>✓ SÍ</t>
        </is>
      </c>
      <c r="E15" s="83" t="inlineStr"/>
      <c r="F15" s="83" t="inlineStr">
        <is>
          <t>Cumple</t>
        </is>
      </c>
    </row>
    <row r="16">
      <c r="A16" s="83" t="inlineStr">
        <is>
          <t>¿EBITDA afectado &lt; 5%?</t>
        </is>
      </c>
      <c r="B16" s="90" t="inlineStr">
        <is>
          <t>✓ SÍ</t>
        </is>
      </c>
      <c r="C16" s="90" t="inlineStr">
        <is>
          <t>✓ SÍ</t>
        </is>
      </c>
      <c r="D16" s="90" t="inlineStr">
        <is>
          <t>✓ SÍ</t>
        </is>
      </c>
      <c r="E16" s="83" t="inlineStr"/>
      <c r="F16" s="83" t="inlineStr">
        <is>
          <t>Sostenible</t>
        </is>
      </c>
    </row>
    <row r="18">
      <c r="A18" s="81" t="inlineStr">
        <is>
          <t>B. KPIs ESTRATÉGICOS Y DE BRANDING</t>
        </is>
      </c>
    </row>
    <row r="20">
      <c r="A20" s="82" t="inlineStr">
        <is>
          <t>Métrica</t>
        </is>
      </c>
      <c r="B20" s="82" t="inlineStr">
        <is>
          <t>Año 1</t>
        </is>
      </c>
      <c r="C20" s="82" t="inlineStr">
        <is>
          <t>Año 2</t>
        </is>
      </c>
      <c r="D20" s="82" t="inlineStr">
        <is>
          <t>Año 3</t>
        </is>
      </c>
      <c r="E20" s="82" t="inlineStr">
        <is>
          <t>Meta</t>
        </is>
      </c>
      <c r="F20" s="82" t="inlineStr">
        <is>
          <t>Notas</t>
        </is>
      </c>
    </row>
    <row r="21">
      <c r="A21" s="83" t="inlineStr">
        <is>
          <t>Valor Publicitario Equiv. (AVE)</t>
        </is>
      </c>
      <c r="B21" s="83" t="n">
        <v>25000</v>
      </c>
      <c r="C21" s="83" t="n">
        <v>35000</v>
      </c>
      <c r="D21" s="83" t="n">
        <v>50000</v>
      </c>
      <c r="E21" s="83" t="inlineStr">
        <is>
          <t>&gt;$20k</t>
        </is>
      </c>
      <c r="F21" s="83" t="inlineStr">
        <is>
          <t>Streaming WBC, prensa</t>
        </is>
      </c>
    </row>
    <row r="22">
      <c r="A22" s="83" t="inlineStr">
        <is>
          <t>Alcance Redes (#TeamLPET)</t>
        </is>
      </c>
      <c r="B22" s="83" t="n">
        <v>50000</v>
      </c>
      <c r="C22" s="83" t="n">
        <v>100000</v>
      </c>
      <c r="D22" s="83" t="n">
        <v>200000</v>
      </c>
      <c r="E22" s="83" t="inlineStr">
        <is>
          <t>Creciente</t>
        </is>
      </c>
      <c r="F22" s="83" t="inlineStr">
        <is>
          <t>Impresiones anuales</t>
        </is>
      </c>
    </row>
    <row r="23">
      <c r="A23" s="83" t="inlineStr">
        <is>
          <t>Cobertura Mediática</t>
        </is>
      </c>
      <c r="B23" s="83" t="n">
        <v>2</v>
      </c>
      <c r="C23" s="83" t="n">
        <v>3</v>
      </c>
      <c r="D23" s="83" t="n">
        <v>5</v>
      </c>
      <c r="E23" s="83" t="inlineStr">
        <is>
          <t>≥3 medios</t>
        </is>
      </c>
      <c r="F23" s="83" t="inlineStr">
        <is>
          <t>Artículos/menciones</t>
        </is>
      </c>
    </row>
    <row r="24">
      <c r="A24" s="83" t="inlineStr">
        <is>
          <t>Regiones Cubiertas</t>
        </is>
      </c>
      <c r="B24" s="83" t="n">
        <v>2</v>
      </c>
      <c r="C24" s="83" t="n">
        <v>3</v>
      </c>
      <c r="D24" s="83" t="n">
        <v>4</v>
      </c>
      <c r="E24" s="83" t="inlineStr">
        <is>
          <t>3 continentes</t>
        </is>
      </c>
      <c r="F24" s="83" t="inlineStr">
        <is>
          <t>USA, Europa, Asia</t>
        </is>
      </c>
    </row>
    <row r="25">
      <c r="A25" s="83" t="inlineStr">
        <is>
          <t>Competidores en Top 6</t>
        </is>
      </c>
      <c r="B25" s="83" t="n">
        <v>1</v>
      </c>
      <c r="C25" s="83" t="n">
        <v>1</v>
      </c>
      <c r="D25" s="83" t="n">
        <v>2</v>
      </c>
      <c r="E25" s="83" t="inlineStr">
        <is>
          <t>≥1/año</t>
        </is>
      </c>
      <c r="F25" s="83" t="inlineStr">
        <is>
          <t>Visibilidad máxima</t>
        </is>
      </c>
    </row>
    <row r="26">
      <c r="A26" s="83" t="inlineStr">
        <is>
          <t>Tasa Conversión a Venta B2B</t>
        </is>
      </c>
      <c r="B26" s="83" t="inlineStr">
        <is>
          <t>5%</t>
        </is>
      </c>
      <c r="C26" s="83" t="inlineStr">
        <is>
          <t>8%</t>
        </is>
      </c>
      <c r="D26" s="83" t="inlineStr">
        <is>
          <t>12%</t>
        </is>
      </c>
      <c r="E26" s="83" t="inlineStr">
        <is>
          <t>≥10%</t>
        </is>
      </c>
      <c r="F26" s="83" t="inlineStr">
        <is>
          <t>% leads que compran</t>
        </is>
      </c>
    </row>
    <row r="27">
      <c r="A27" s="83" t="inlineStr">
        <is>
          <t>NPS Competidores Patrocinados</t>
        </is>
      </c>
      <c r="B27" s="83" t="n">
        <v>85</v>
      </c>
      <c r="C27" s="83" t="n">
        <v>90</v>
      </c>
      <c r="D27" s="83" t="n">
        <v>92</v>
      </c>
      <c r="E27" s="83" t="inlineStr">
        <is>
          <t>≥80</t>
        </is>
      </c>
      <c r="F27" s="83" t="inlineStr">
        <is>
          <t>Satisfacción del programa</t>
        </is>
      </c>
    </row>
    <row r="29">
      <c r="A29" s="81" t="inlineStr">
        <is>
          <t>C. ESCENARIOS COMPARATIVOS</t>
        </is>
      </c>
    </row>
    <row r="31">
      <c r="A31" s="82" t="inlineStr">
        <is>
          <t>Escenario</t>
        </is>
      </c>
      <c r="B31" s="82" t="inlineStr">
        <is>
          <t>N1</t>
        </is>
      </c>
      <c r="C31" s="82" t="inlineStr">
        <is>
          <t>N2A</t>
        </is>
      </c>
      <c r="D31" s="82" t="inlineStr">
        <is>
          <t>N2B</t>
        </is>
      </c>
      <c r="E31" s="82" t="inlineStr">
        <is>
          <t>Vol. Subs.</t>
        </is>
      </c>
      <c r="F31" s="82" t="inlineStr">
        <is>
          <t>Precio Prom.</t>
        </is>
      </c>
    </row>
    <row r="32">
      <c r="A32" s="90" t="inlineStr">
        <is>
          <t>Conservador</t>
        </is>
      </c>
      <c r="B32" s="90" t="inlineStr">
        <is>
          <t>3 × 20kg</t>
        </is>
      </c>
      <c r="C32" s="90" t="inlineStr">
        <is>
          <t>1 × 50kg</t>
        </is>
      </c>
      <c r="D32" s="90" t="inlineStr">
        <is>
          <t>0</t>
        </is>
      </c>
      <c r="E32" s="90" t="inlineStr">
        <is>
          <t>110 kg (11%)</t>
        </is>
      </c>
      <c r="F32" s="90" t="inlineStr">
        <is>
          <t>$46.60/lb ✓</t>
        </is>
      </c>
    </row>
    <row r="33">
      <c r="A33" s="83" t="inlineStr">
        <is>
          <t>Moderado (Actual)</t>
        </is>
      </c>
      <c r="B33" s="83" t="inlineStr">
        <is>
          <t>5 × 20kg</t>
        </is>
      </c>
      <c r="C33" s="83" t="inlineStr">
        <is>
          <t>1 × 50kg</t>
        </is>
      </c>
      <c r="D33" s="83" t="inlineStr">
        <is>
          <t>1 × 50kg</t>
        </is>
      </c>
      <c r="E33" s="83" t="inlineStr">
        <is>
          <t>200 kg (20%)</t>
        </is>
      </c>
      <c r="F33" s="83" t="inlineStr">
        <is>
          <t>$44.24/lb ✓</t>
        </is>
      </c>
    </row>
    <row r="34">
      <c r="A34" s="87" t="inlineStr">
        <is>
          <t>Agresivo</t>
        </is>
      </c>
      <c r="B34" s="87" t="inlineStr">
        <is>
          <t>8 × 20kg</t>
        </is>
      </c>
      <c r="C34" s="87" t="inlineStr">
        <is>
          <t>2 × 50kg</t>
        </is>
      </c>
      <c r="D34" s="87" t="inlineStr">
        <is>
          <t>2 × 50kg</t>
        </is>
      </c>
      <c r="E34" s="87" t="inlineStr">
        <is>
          <t>360 kg (36%)</t>
        </is>
      </c>
      <c r="F34" s="87" t="inlineStr">
        <is>
          <t>$38.50/lb ✗</t>
        </is>
      </c>
    </row>
    <row r="35">
      <c r="A35" s="83" t="inlineStr"/>
      <c r="B35" s="83" t="inlineStr"/>
      <c r="C35" s="83" t="inlineStr"/>
      <c r="D35" s="83" t="inlineStr"/>
      <c r="E35" s="83" t="inlineStr"/>
      <c r="F35" s="83" t="inlineStr"/>
    </row>
    <row r="36">
      <c r="A36" s="86" t="inlineStr">
        <is>
          <t>RECOMENDACIÓN</t>
        </is>
      </c>
      <c r="B36" s="86" t="inlineStr"/>
      <c r="C36" s="86" t="inlineStr"/>
      <c r="D36" s="86" t="inlineStr"/>
      <c r="E36" s="86" t="inlineStr"/>
      <c r="F36" s="86" t="inlineStr"/>
    </row>
    <row r="37">
      <c r="A37" s="91" t="inlineStr">
        <is>
          <t>→ Iniciar con Escenario CONSERVADOR (11% vol.) para validar el programa. Escalar a Moderado en Año 2 si precio se mantiene ≥$44/lb.</t>
        </is>
      </c>
    </row>
  </sheetData>
  <mergeCells count="5">
    <mergeCell ref="A1:F1"/>
    <mergeCell ref="A37:F37"/>
    <mergeCell ref="A18:F18"/>
    <mergeCell ref="A3:F3"/>
    <mergeCell ref="A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2025-11-24T21:51:39Z</dcterms:created>
  <dcterms:modified xsi:type="dcterms:W3CDTF">2025-11-29T16:35:42Z</dcterms:modified>
  <cp:revision>0</cp:revision>
</cp:coreProperties>
</file>